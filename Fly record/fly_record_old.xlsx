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_vanswinderen\Bruno\Fly record\"/>
    </mc:Choice>
  </mc:AlternateContent>
  <xr:revisionPtr revIDLastSave="0" documentId="8_{51D722B9-86C0-400A-9D83-A9A9D4C353E0}" xr6:coauthVersionLast="36" xr6:coauthVersionMax="36" xr10:uidLastSave="{00000000-0000-0000-0000-000000000000}"/>
  <bookViews>
    <workbookView xWindow="0" yWindow="0" windowWidth="9975" windowHeight="2040" xr2:uid="{0C11348E-E482-4597-B3FE-1374AFB87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61" i="1" l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8" i="1"/>
  <c r="D1048" i="1"/>
  <c r="E1046" i="1"/>
  <c r="D1046" i="1"/>
  <c r="E1044" i="1"/>
  <c r="D1044" i="1"/>
  <c r="E1042" i="1"/>
  <c r="D1042" i="1"/>
  <c r="E1040" i="1"/>
  <c r="D1040" i="1"/>
  <c r="E1038" i="1"/>
  <c r="D1038" i="1"/>
  <c r="E1036" i="1"/>
  <c r="D1036" i="1"/>
  <c r="E1034" i="1"/>
  <c r="D1034" i="1"/>
  <c r="E1032" i="1"/>
  <c r="D1032" i="1"/>
  <c r="E1030" i="1"/>
  <c r="D1030" i="1"/>
  <c r="E1028" i="1"/>
  <c r="D1028" i="1"/>
  <c r="E1026" i="1"/>
  <c r="D1026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 l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 l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 l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6" i="1"/>
  <c r="D956" i="1"/>
  <c r="E955" i="1"/>
  <c r="D955" i="1"/>
  <c r="E953" i="1"/>
  <c r="D953" i="1"/>
  <c r="E954" i="1"/>
  <c r="D954" i="1"/>
  <c r="E952" i="1"/>
  <c r="D952" i="1"/>
  <c r="E951" i="1"/>
  <c r="D951" i="1"/>
  <c r="E950" i="1"/>
  <c r="D950" i="1"/>
  <c r="E949" i="1"/>
  <c r="D949" i="1"/>
  <c r="E948" i="1" l="1"/>
  <c r="D948" i="1"/>
  <c r="E947" i="1"/>
  <c r="D947" i="1"/>
  <c r="E946" i="1"/>
  <c r="D946" i="1"/>
  <c r="E945" i="1"/>
  <c r="D945" i="1"/>
  <c r="E944" i="1"/>
  <c r="D944" i="1"/>
  <c r="E943" i="1" l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 l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 l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 l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 l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 l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 l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 l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 l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 l="1"/>
  <c r="D550" i="1"/>
  <c r="E549" i="1"/>
  <c r="D549" i="1"/>
  <c r="E548" i="1"/>
  <c r="D548" i="1"/>
  <c r="E547" i="1"/>
  <c r="D547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7" i="1"/>
  <c r="D537" i="1"/>
  <c r="E536" i="1" l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 l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11" i="1"/>
  <c r="D511" i="1"/>
  <c r="E510" i="1"/>
  <c r="D510" i="1"/>
  <c r="E509" i="1"/>
  <c r="D509" i="1"/>
  <c r="E508" i="1"/>
  <c r="D508" i="1"/>
  <c r="E507" i="1"/>
  <c r="D507" i="1"/>
  <c r="E505" i="1"/>
  <c r="D505" i="1"/>
  <c r="E504" i="1"/>
  <c r="D504" i="1"/>
  <c r="E503" i="1"/>
  <c r="D503" i="1"/>
  <c r="E502" i="1"/>
  <c r="D502" i="1"/>
  <c r="E512" i="1"/>
  <c r="D512" i="1"/>
  <c r="E516" i="1"/>
  <c r="D516" i="1"/>
  <c r="E514" i="1"/>
  <c r="D514" i="1"/>
  <c r="E521" i="1"/>
  <c r="D521" i="1"/>
  <c r="E520" i="1"/>
  <c r="D520" i="1"/>
  <c r="E519" i="1"/>
  <c r="D519" i="1"/>
  <c r="E518" i="1"/>
  <c r="D518" i="1"/>
  <c r="E517" i="1"/>
  <c r="D517" i="1"/>
  <c r="E515" i="1"/>
  <c r="D515" i="1"/>
  <c r="E513" i="1"/>
  <c r="D513" i="1"/>
  <c r="E506" i="1"/>
  <c r="D506" i="1"/>
  <c r="E219" i="1" l="1"/>
  <c r="D219" i="1"/>
  <c r="E217" i="1"/>
  <c r="D217" i="1"/>
  <c r="E211" i="1"/>
  <c r="D211" i="1"/>
  <c r="E210" i="1"/>
  <c r="D210" i="1"/>
  <c r="E205" i="1"/>
  <c r="D205" i="1"/>
  <c r="F205" i="1" l="1"/>
  <c r="F211" i="1"/>
  <c r="F210" i="1"/>
  <c r="F217" i="1"/>
  <c r="F219" i="1"/>
  <c r="E188" i="1"/>
  <c r="D188" i="1"/>
  <c r="F188" i="1" s="1"/>
  <c r="E169" i="1" l="1"/>
  <c r="D169" i="1"/>
  <c r="E165" i="1"/>
  <c r="D165" i="1"/>
  <c r="E162" i="1"/>
  <c r="D162" i="1"/>
  <c r="E161" i="1"/>
  <c r="D161" i="1"/>
  <c r="E157" i="1"/>
  <c r="D157" i="1"/>
  <c r="E156" i="1"/>
  <c r="D156" i="1"/>
  <c r="E152" i="1"/>
  <c r="D152" i="1"/>
  <c r="E151" i="1"/>
  <c r="D151" i="1"/>
  <c r="E183" i="1"/>
  <c r="D183" i="1"/>
  <c r="E182" i="1"/>
  <c r="D182" i="1"/>
  <c r="E180" i="1"/>
  <c r="D180" i="1"/>
  <c r="E178" i="1"/>
  <c r="D178" i="1"/>
  <c r="E172" i="1"/>
  <c r="D172" i="1"/>
  <c r="E171" i="1"/>
  <c r="D171" i="1"/>
  <c r="E168" i="1"/>
  <c r="D168" i="1"/>
  <c r="E164" i="1"/>
  <c r="D164" i="1"/>
  <c r="E148" i="1"/>
  <c r="D148" i="1"/>
  <c r="E147" i="1"/>
  <c r="D147" i="1"/>
  <c r="E144" i="1"/>
  <c r="D144" i="1"/>
  <c r="E143" i="1"/>
  <c r="D143" i="1"/>
  <c r="E140" i="1"/>
  <c r="D140" i="1"/>
  <c r="E139" i="1"/>
  <c r="D139" i="1"/>
  <c r="E136" i="1"/>
  <c r="D136" i="1"/>
  <c r="E135" i="1"/>
  <c r="D135" i="1"/>
  <c r="E132" i="1"/>
  <c r="D132" i="1"/>
  <c r="E129" i="1"/>
  <c r="D129" i="1"/>
  <c r="E128" i="1"/>
  <c r="D128" i="1"/>
  <c r="F182" i="1" l="1"/>
  <c r="F183" i="1"/>
  <c r="E125" i="1"/>
  <c r="D125" i="1"/>
  <c r="F125" i="1" s="1"/>
  <c r="E124" i="1"/>
  <c r="D124" i="1"/>
  <c r="F124" i="1" s="1"/>
  <c r="F123" i="1"/>
  <c r="E123" i="1"/>
  <c r="D123" i="1"/>
  <c r="F122" i="1"/>
  <c r="E122" i="1"/>
  <c r="D122" i="1"/>
  <c r="E121" i="1"/>
  <c r="D121" i="1"/>
  <c r="E120" i="1"/>
  <c r="D120" i="1"/>
  <c r="E119" i="1"/>
  <c r="D119" i="1"/>
  <c r="F119" i="1" s="1"/>
  <c r="E118" i="1"/>
  <c r="D118" i="1"/>
  <c r="F118" i="1" s="1"/>
  <c r="E117" i="1"/>
  <c r="D117" i="1"/>
  <c r="E116" i="1"/>
  <c r="D116" i="1"/>
  <c r="E115" i="1"/>
  <c r="D115" i="1"/>
  <c r="F115" i="1" s="1"/>
  <c r="E114" i="1"/>
  <c r="D114" i="1"/>
  <c r="F117" i="1" l="1"/>
  <c r="F116" i="1"/>
  <c r="F121" i="1"/>
  <c r="F114" i="1"/>
  <c r="F120" i="1"/>
  <c r="F109" i="1"/>
  <c r="F108" i="1"/>
  <c r="F99" i="1"/>
  <c r="F98" i="1"/>
  <c r="F87" i="1"/>
  <c r="F86" i="1"/>
  <c r="F69" i="1"/>
  <c r="F68" i="1"/>
  <c r="E113" i="1" l="1"/>
  <c r="D113" i="1"/>
  <c r="F113" i="1" s="1"/>
  <c r="E112" i="1"/>
  <c r="D112" i="1"/>
  <c r="F112" i="1" s="1"/>
  <c r="E111" i="1"/>
  <c r="D111" i="1"/>
  <c r="E110" i="1"/>
  <c r="D110" i="1"/>
  <c r="F110" i="1" s="1"/>
  <c r="E109" i="1"/>
  <c r="D109" i="1"/>
  <c r="E108" i="1"/>
  <c r="D108" i="1"/>
  <c r="E107" i="1"/>
  <c r="D107" i="1"/>
  <c r="F107" i="1" s="1"/>
  <c r="E106" i="1"/>
  <c r="D106" i="1"/>
  <c r="F106" i="1" s="1"/>
  <c r="E105" i="1"/>
  <c r="D105" i="1"/>
  <c r="E104" i="1"/>
  <c r="D104" i="1"/>
  <c r="F104" i="1" s="1"/>
  <c r="E103" i="1"/>
  <c r="D103" i="1"/>
  <c r="F103" i="1" s="1"/>
  <c r="E102" i="1"/>
  <c r="D102" i="1"/>
  <c r="F102" i="1" s="1"/>
  <c r="F105" i="1" l="1"/>
  <c r="F111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F80" i="1"/>
  <c r="F82" i="1"/>
  <c r="F83" i="1"/>
  <c r="F84" i="1"/>
  <c r="F85" i="1"/>
  <c r="E91" i="1"/>
  <c r="D91" i="1"/>
  <c r="E90" i="1"/>
  <c r="D90" i="1"/>
  <c r="E89" i="1"/>
  <c r="D89" i="1"/>
  <c r="E88" i="1"/>
  <c r="D88" i="1"/>
  <c r="F88" i="1" s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F81" i="1" s="1"/>
  <c r="E80" i="1"/>
  <c r="D80" i="1"/>
  <c r="E79" i="1"/>
  <c r="E78" i="1"/>
  <c r="D79" i="1"/>
  <c r="F79" i="1" s="1"/>
  <c r="D78" i="1"/>
  <c r="E73" i="1"/>
  <c r="E72" i="1"/>
  <c r="E71" i="1"/>
  <c r="E70" i="1"/>
  <c r="E75" i="1"/>
  <c r="E74" i="1"/>
  <c r="D75" i="1"/>
  <c r="D74" i="1"/>
  <c r="D73" i="1"/>
  <c r="D72" i="1"/>
  <c r="D71" i="1"/>
  <c r="D70" i="1"/>
  <c r="D69" i="1"/>
  <c r="E69" i="1"/>
  <c r="E68" i="1"/>
  <c r="D68" i="1"/>
  <c r="D77" i="1"/>
  <c r="E77" i="1"/>
  <c r="E76" i="1"/>
  <c r="D76" i="1"/>
  <c r="F78" i="1" l="1"/>
  <c r="F96" i="1"/>
  <c r="F91" i="1"/>
  <c r="F92" i="1"/>
  <c r="F90" i="1"/>
  <c r="F89" i="1"/>
  <c r="F97" i="1"/>
  <c r="F100" i="1"/>
  <c r="F101" i="1"/>
  <c r="F77" i="1"/>
  <c r="F94" i="1"/>
  <c r="F93" i="1"/>
  <c r="F95" i="1"/>
  <c r="F76" i="1"/>
  <c r="F71" i="1"/>
  <c r="F75" i="1"/>
  <c r="F70" i="1"/>
  <c r="F73" i="1"/>
  <c r="F74" i="1"/>
  <c r="F72" i="1"/>
  <c r="E67" i="1"/>
  <c r="D67" i="1"/>
  <c r="E66" i="1"/>
  <c r="D66" i="1"/>
  <c r="E65" i="1"/>
  <c r="D65" i="1"/>
  <c r="E64" i="1"/>
  <c r="D64" i="1"/>
  <c r="E63" i="1"/>
  <c r="D63" i="1"/>
  <c r="E62" i="1"/>
  <c r="D62" i="1"/>
  <c r="E59" i="1"/>
  <c r="D59" i="1"/>
  <c r="E58" i="1"/>
  <c r="D58" i="1"/>
  <c r="E57" i="1"/>
  <c r="D57" i="1"/>
  <c r="E56" i="1"/>
  <c r="D56" i="1"/>
  <c r="D55" i="1"/>
  <c r="E55" i="1"/>
  <c r="E54" i="1"/>
  <c r="D54" i="1"/>
  <c r="E44" i="1"/>
  <c r="D44" i="1"/>
  <c r="E47" i="1"/>
  <c r="D47" i="1"/>
  <c r="E46" i="1"/>
  <c r="D46" i="1"/>
  <c r="E51" i="1"/>
  <c r="D51" i="1"/>
  <c r="E50" i="1"/>
  <c r="D50" i="1"/>
  <c r="E49" i="1"/>
  <c r="D49" i="1"/>
  <c r="E48" i="1"/>
  <c r="D48" i="1"/>
  <c r="E43" i="1"/>
  <c r="D43" i="1"/>
  <c r="D42" i="1"/>
  <c r="E42" i="1"/>
  <c r="E41" i="1"/>
  <c r="D41" i="1"/>
  <c r="E40" i="1"/>
  <c r="E39" i="1"/>
  <c r="D40" i="1"/>
  <c r="D39" i="1"/>
  <c r="E38" i="1"/>
  <c r="E37" i="1"/>
  <c r="D38" i="1"/>
  <c r="D37" i="1"/>
</calcChain>
</file>

<file path=xl/sharedStrings.xml><?xml version="1.0" encoding="utf-8"?>
<sst xmlns="http://schemas.openxmlformats.org/spreadsheetml/2006/main" count="1057" uniqueCount="442">
  <si>
    <t>Date</t>
  </si>
  <si>
    <t>Block</t>
  </si>
  <si>
    <t>SDT</t>
  </si>
  <si>
    <t>ISI</t>
  </si>
  <si>
    <t>Comments</t>
  </si>
  <si>
    <t>Gaps</t>
  </si>
  <si>
    <t>Possibly dead</t>
  </si>
  <si>
    <t>Dead fly test</t>
  </si>
  <si>
    <t>2X time; Irregular gaps</t>
  </si>
  <si>
    <t>Big gaps; regular in between</t>
  </si>
  <si>
    <t>Irregular gaps</t>
  </si>
  <si>
    <t>With legs; Problems with gaps</t>
  </si>
  <si>
    <t>Fly</t>
  </si>
  <si>
    <t>Frequency</t>
  </si>
  <si>
    <t>Exclude</t>
  </si>
  <si>
    <t>Bruno: Looks bad; Dinis: it is fine</t>
  </si>
  <si>
    <t>Crashed around 50 mins</t>
  </si>
  <si>
    <t>Glued legs not cut</t>
  </si>
  <si>
    <t>red light on</t>
  </si>
  <si>
    <t>Red light on</t>
  </si>
  <si>
    <t>baseline</t>
  </si>
  <si>
    <t>baseline again</t>
  </si>
  <si>
    <t>baseline; fly 25 has been fed ATR for 2 days since birth</t>
  </si>
  <si>
    <t>baseline; fly 24 has been fed ATR for 2 days since birth</t>
  </si>
  <si>
    <t>Baseline, Only recording from Optic lobe</t>
  </si>
  <si>
    <t>Red light on, Only recording from Optic lobe</t>
  </si>
  <si>
    <t>Baseline, Only recording from Central Complex</t>
  </si>
  <si>
    <t>Red light on, Only recording from Central Complex</t>
  </si>
  <si>
    <t>red light on, only 2min recording</t>
  </si>
  <si>
    <t>baseline, regular</t>
  </si>
  <si>
    <t>jittering</t>
  </si>
  <si>
    <t>alternating to calibrate</t>
  </si>
  <si>
    <t>Threshold</t>
  </si>
  <si>
    <t>Window1</t>
  </si>
  <si>
    <t>Window2</t>
  </si>
  <si>
    <t>red light on; PROBABLY WRONG FREQUENCY</t>
  </si>
  <si>
    <t>WEIRD DATA</t>
  </si>
  <si>
    <t>Big gaps but results sound</t>
  </si>
  <si>
    <t>regular, baseline</t>
  </si>
  <si>
    <t>regular, red light</t>
  </si>
  <si>
    <t>regular, baseline repeat</t>
  </si>
  <si>
    <t>regular, baseline, no ATR</t>
  </si>
  <si>
    <t>regular, red light, no ATR</t>
  </si>
  <si>
    <t>jittering, no ATR</t>
  </si>
  <si>
    <t>jittering (something weird with photodiode)</t>
  </si>
  <si>
    <t>jittering (BAD DATA)</t>
  </si>
  <si>
    <t>regular, sides, no ATR</t>
  </si>
  <si>
    <t>regular, front, no ATR</t>
  </si>
  <si>
    <t>regular, front, no ATR, blue</t>
  </si>
  <si>
    <t>regular, sides, no ATR, blue</t>
  </si>
  <si>
    <t>blocks, sides, blue</t>
  </si>
  <si>
    <t>InterBlockPeriod</t>
  </si>
  <si>
    <t>BlockLength</t>
  </si>
  <si>
    <t>jitter,sides,no ATR, green</t>
  </si>
  <si>
    <t>jitter, sides, no ATR, blue</t>
  </si>
  <si>
    <t>PHOTType</t>
  </si>
  <si>
    <t>LFPChannel</t>
  </si>
  <si>
    <t>regular, front, no ATR; DINIS: data very iffy even after filtering</t>
  </si>
  <si>
    <t>Awful PHOT jitttering, no v-sync</t>
  </si>
  <si>
    <t>regular,checkfront4, no ATR, blue</t>
  </si>
  <si>
    <t>regular,checkfront6, no ATR, blue</t>
  </si>
  <si>
    <t>regular,checkfront2, no ATR, blue</t>
  </si>
  <si>
    <t>regular,checkfront3, no ATR, blue</t>
  </si>
  <si>
    <t>regular,checkfront1, no ATR, blue</t>
  </si>
  <si>
    <t>regular,checkleft4, no ATR, blue</t>
  </si>
  <si>
    <t>regular,checkright4, no ATR, blue</t>
  </si>
  <si>
    <t>regular,checkfront,no ATR, blue</t>
  </si>
  <si>
    <t>regular,adjfront,no ATR, blue</t>
  </si>
  <si>
    <t>regular, checkfront4, no ATR, blue</t>
  </si>
  <si>
    <t>regular, checkleft4, no ATR, blue</t>
  </si>
  <si>
    <t>regular, checkright4, no ATR, blue</t>
  </si>
  <si>
    <t>regular, checkfront1, no ATR, blue</t>
  </si>
  <si>
    <t>regular, checkfront2, no ATR, blue</t>
  </si>
  <si>
    <t>regular, checkfront3, no ATR, blue</t>
  </si>
  <si>
    <t>regular, checkfront6, no ATR, blue</t>
  </si>
  <si>
    <t>regular, checkleft2, no ATR, blue</t>
  </si>
  <si>
    <t>regular, checkright2, no ATR, blue</t>
  </si>
  <si>
    <t>Frozen?, adjfront, no ATR, blue</t>
  </si>
  <si>
    <t>regular, front, ATR, blue</t>
  </si>
  <si>
    <t>regular,adjfront, ATR, blue</t>
  </si>
  <si>
    <t>regular,adjfront, ATR, blue, red light on</t>
  </si>
  <si>
    <t>regular, tttfront, ATR, blue</t>
  </si>
  <si>
    <t>regular, ttt2front, ATR, blue</t>
  </si>
  <si>
    <t>regular, ttt3front, ATR, blue</t>
  </si>
  <si>
    <t>regular, checkfront4, ATR, blue</t>
  </si>
  <si>
    <t>regular, checkfront6, ATR, blue</t>
  </si>
  <si>
    <t>regular, checkfront3, ATR, blue</t>
  </si>
  <si>
    <t>regular, checkfront2, ATR, blue</t>
  </si>
  <si>
    <t>regular, checkfront1, ATR, blue</t>
  </si>
  <si>
    <t>regular, ttt2front, ATR, blue, red light on</t>
  </si>
  <si>
    <t>regular,front, ATR, blue, red light on</t>
  </si>
  <si>
    <t>regular,checkfront4, ATR, blue</t>
  </si>
  <si>
    <t>regular,checkfront1, ATR, blue</t>
  </si>
  <si>
    <t>regular,checkfront2, ATR, blue</t>
  </si>
  <si>
    <t>regular,checkfront3, ATR, blue</t>
  </si>
  <si>
    <t>regular,checkfront6, ATR, blue</t>
  </si>
  <si>
    <t>regular,checkfront4, ATR, blue, red light on</t>
  </si>
  <si>
    <t>regular,ttt2front, ATR, blue</t>
  </si>
  <si>
    <t>regular,front, ATR, blue, DEAD?</t>
  </si>
  <si>
    <t>regular,adjfront, ATR, blue, DEAD?</t>
  </si>
  <si>
    <t>regular,adjfront, ATR, green, DEAD?</t>
  </si>
  <si>
    <t>regular,checkfront6, ATR, blue, red light on</t>
  </si>
  <si>
    <t>regular,checkfront5, ATR, blue, red light on</t>
  </si>
  <si>
    <t>LFPsd</t>
  </si>
  <si>
    <t>regular,checkfront6, ATR, blue, pre red</t>
  </si>
  <si>
    <t>regular,checkfront6, ATR, blue, post red</t>
  </si>
  <si>
    <t>regular,checkfront5, ATR, blue, post red</t>
  </si>
  <si>
    <t>regular,adjfront, ATR, blue, pre red</t>
  </si>
  <si>
    <t>regular,adjfront, ATR, blue, post red</t>
  </si>
  <si>
    <t>regular, ffront, no ATR</t>
  </si>
  <si>
    <t>regular,ffront,no ATR, blue</t>
  </si>
  <si>
    <t>regular, ffront, ATR, blue; weird double tag?</t>
  </si>
  <si>
    <t>regular,ffront, ATR, blue</t>
  </si>
  <si>
    <t>regular, ttt2front, ATR, blue (not red)</t>
  </si>
  <si>
    <t>regular, ssides, no ATR</t>
  </si>
  <si>
    <t>regular, ssides, no ATR, blue</t>
  </si>
  <si>
    <t>regular,ssides, no ATR, blue</t>
  </si>
  <si>
    <t>regular, ssides, ATR, blue</t>
  </si>
  <si>
    <t>regular,ssides, ATR, blue</t>
  </si>
  <si>
    <t>regular,ssides,no ATR, green</t>
  </si>
  <si>
    <t>regular,ssides,no ATR, blue</t>
  </si>
  <si>
    <t>regular, adjfront, ATR, blue, rred light on</t>
  </si>
  <si>
    <t>regular,adjfront, ATR, blue, rred light on</t>
  </si>
  <si>
    <t>regular, adjfront, ATR, blue, ppost red</t>
  </si>
  <si>
    <t>regular,adjfront, ATR, blue, ppost red</t>
  </si>
  <si>
    <t>right eye,adjleft, contra, no  ATR, blue</t>
  </si>
  <si>
    <t>right eye,adjright, ipsi, no  ATR, blue</t>
  </si>
  <si>
    <t>right eye, adjleft, contra, no  ATR, blue</t>
  </si>
  <si>
    <t>right eye, adjright, ipsi, no  ATR, blue</t>
  </si>
  <si>
    <t>left eye, adjleft, ipsi, no  ATR, blue</t>
  </si>
  <si>
    <t>left eye, adjright, contra, no  ATR, blue</t>
  </si>
  <si>
    <t>right eye,adjfront, ahead, no  ATR, blue</t>
  </si>
  <si>
    <t>right eye, adjfront, ahead, no  ATR, blue</t>
  </si>
  <si>
    <t>left eye, adjfront, ahead, no  ATR, blue</t>
  </si>
  <si>
    <t>left eye, adjfront, ahead,  no  ATR, blue</t>
  </si>
  <si>
    <t>right eye, isides, no  ATR, blue</t>
  </si>
  <si>
    <t>right eye, ifront, no  ATR, blue</t>
  </si>
  <si>
    <t>left eye, isides, no  ATR, blue</t>
  </si>
  <si>
    <t>left eye, ifront, no  ATR, blue</t>
  </si>
  <si>
    <t>red recovery</t>
  </si>
  <si>
    <t>red recovery; photodiode acting up</t>
  </si>
  <si>
    <t>red recovery, sides, no ATR</t>
  </si>
  <si>
    <t>regular, red recovery</t>
  </si>
  <si>
    <t>regular, ffront, no ATR, dead?</t>
  </si>
  <si>
    <t>regular, ssides, no ATR, dead?</t>
  </si>
  <si>
    <t>regular, ssides, no ATR, flat?</t>
  </si>
  <si>
    <t>regular, ffront, no ATR, flat?</t>
  </si>
  <si>
    <t>older</t>
  </si>
  <si>
    <t>Glued legs not cut, older</t>
  </si>
  <si>
    <t>baseline, older</t>
  </si>
  <si>
    <t>regular, older</t>
  </si>
  <si>
    <t>regular, baseline, older</t>
  </si>
  <si>
    <t>regular, baseline, no ATR, older</t>
  </si>
  <si>
    <t>regular, sides, no ATR, older</t>
  </si>
  <si>
    <t>Unusual window but data looks sound, older</t>
  </si>
  <si>
    <t>Melvyn, sides, blue</t>
  </si>
  <si>
    <t>Melvyn, sides, green</t>
  </si>
  <si>
    <t>Melvyn, sides, blue, deeper</t>
  </si>
  <si>
    <t>Melvyn, sides, blue, outside brain</t>
  </si>
  <si>
    <t>Melvyn, sides, blue, another brain location</t>
  </si>
  <si>
    <t>Melvyn, sides, blue, another brain location, deepr</t>
  </si>
  <si>
    <t>Melvyn, sides, blue, left optic lobe</t>
  </si>
  <si>
    <t>Melvyn, front, blue</t>
  </si>
  <si>
    <t>Melvyn,adjfront, blue</t>
  </si>
  <si>
    <t>Melvyn,adjleft, blue</t>
  </si>
  <si>
    <t>Melvyn,adjright, blue</t>
  </si>
  <si>
    <t>Melvyn,adjright, blue, Dinis LEDs</t>
  </si>
  <si>
    <t>Melvyn,sides, blue</t>
  </si>
  <si>
    <t>Melvyn,sides, blue, left OL</t>
  </si>
  <si>
    <t>Melvyn,sides, blue, right OL</t>
  </si>
  <si>
    <t>Melvyn,front, blue</t>
  </si>
  <si>
    <t>Melvyn,front, blue, 2 PHOT channels</t>
  </si>
  <si>
    <t>Melvyn,sides, blue, 2 PHOT channels</t>
  </si>
  <si>
    <t>Melvyn,check12, blue</t>
  </si>
  <si>
    <t>Melvyn, check12, blue</t>
  </si>
  <si>
    <t>Melvyn,front, blue, isoflurane</t>
  </si>
  <si>
    <t>Melvyn,front, blue, recovery</t>
  </si>
  <si>
    <t>Melvyn,front, blue,red light on</t>
  </si>
  <si>
    <t>Melvyn,front, blue,recovery</t>
  </si>
  <si>
    <t>Melvyn,front, blue,airflow</t>
  </si>
  <si>
    <t>Melvyn,front, blue,isoflurane</t>
  </si>
  <si>
    <t>Melvyn,front, blue,isoflurane AND red light on</t>
  </si>
  <si>
    <t>Melvyn,front, blue,airflow,wider adjacent bars</t>
  </si>
  <si>
    <t>Melvyn,front, blue,red light on, wider adjacent bars</t>
  </si>
  <si>
    <t>Melvyn,front, blue,recovery, wider adjacent bars</t>
  </si>
  <si>
    <t>Melvyn,front, blue, no ATR</t>
  </si>
  <si>
    <t>Melvyn,front, blue, ATR</t>
  </si>
  <si>
    <t>Melvyn,front, blue, ATR, airflow, red light</t>
  </si>
  <si>
    <t>Melvyn,front, blue, ATR, airflow, post red</t>
  </si>
  <si>
    <t>Melvyn,front, blue, ATR, green1</t>
  </si>
  <si>
    <t>Melvyn,front, blue, ATR, green3</t>
  </si>
  <si>
    <t>Melvyn,front, blue, ATR, post green</t>
  </si>
  <si>
    <t>Melvyn,front, blue, ATR, left dFB shallow</t>
  </si>
  <si>
    <t>Melvyn,front, blue, isoflurane1</t>
  </si>
  <si>
    <t>Melvyn,front, blue,isoflurane1</t>
  </si>
  <si>
    <t>Melvyn,front, blue, no ATR, isoflurane1</t>
  </si>
  <si>
    <t>Melvyn,front, blue, ATR, isoflurane1</t>
  </si>
  <si>
    <t>Melvyn,front, blue, ATR, left dFB shallow, red light</t>
  </si>
  <si>
    <t>Melvyn,front, blue, ATR, left dFB shallow, post red</t>
  </si>
  <si>
    <t>Melvyn,front, blue, airflow1</t>
  </si>
  <si>
    <t>Melvyn,front, blue, recovery1</t>
  </si>
  <si>
    <t>Melvyn,front, blue,airflow1</t>
  </si>
  <si>
    <t xml:space="preserve">Melvyn,front, blue, 1hr recovery2 </t>
  </si>
  <si>
    <t>Melvyn,front, blue, no ATR, airflow1</t>
  </si>
  <si>
    <t>Melvyn,front, blue, no ATR, recovery1</t>
  </si>
  <si>
    <t>Melvyn,front, blue, no ATR, 1hr recovery2</t>
  </si>
  <si>
    <t>Melvyn,front, blue, ATR, airflow1</t>
  </si>
  <si>
    <t>Melvyn,front, blue, ATR, 5min recovery1</t>
  </si>
  <si>
    <t>Melvyn,front, blue, ATR, 10min recovery1</t>
  </si>
  <si>
    <t>Melvyn,front, blue, ATR, 20min recovery2</t>
  </si>
  <si>
    <t>Melvyn,front, blue, ATR, 30min recovery2</t>
  </si>
  <si>
    <t>Melvyn,front, blue, ATR, left dFB shallow, airflow</t>
  </si>
  <si>
    <t>Melvyn,front, blue, ATR, left dFB shallow, isoflurane</t>
  </si>
  <si>
    <t>Melvyn,front, blue, ATR, left dFB shallow, recovery</t>
  </si>
  <si>
    <t>Melvyn,front, blue,red1</t>
  </si>
  <si>
    <t>Melvyn,front, blue, red1</t>
  </si>
  <si>
    <t>Melvyn,front, blue, ATR, red1</t>
  </si>
  <si>
    <t>Melvyn,front, blue, postred</t>
  </si>
  <si>
    <t>Melvyn,front, blue,postred, preair</t>
  </si>
  <si>
    <t>Melvyn,front, blue, ATR, prered</t>
  </si>
  <si>
    <t>Melvyn,front, blue, ATR, postred, preair</t>
  </si>
  <si>
    <t>Melvyn,front, blue, ATR, postred</t>
  </si>
  <si>
    <t>Melvyn,front, blue, ATR, recovery1</t>
  </si>
  <si>
    <t>Melvyn,front, blue, ATR,red2</t>
  </si>
  <si>
    <t>Melvyn,front, blue, ATR,airflow1</t>
  </si>
  <si>
    <t>Melvyn,front, blue, ATR,isoflurane1</t>
  </si>
  <si>
    <t>Melvyn,front, blue, ATR,recovery1</t>
  </si>
  <si>
    <t>Melvyn,front, blue, ATR,recovery2</t>
  </si>
  <si>
    <t xml:space="preserve">Melvyn,front, blue, ATR, </t>
  </si>
  <si>
    <t>Melvyn,front, blue, ATR, red</t>
  </si>
  <si>
    <t>Melvyn,front, blue, ATR, post</t>
  </si>
  <si>
    <t>Melvyn,front, blue, ATR, 15min recovery</t>
  </si>
  <si>
    <t>Melvyn,front, blue, ATR, 1.5hr recovery2</t>
  </si>
  <si>
    <t>Melvyn,front, blue, ATR, recovery2</t>
  </si>
  <si>
    <t>Melvyn,front, blue, red</t>
  </si>
  <si>
    <t>Melvyn,front, blue, gaboxadol</t>
  </si>
  <si>
    <t>Melvyn,front, blue, gaboxadol2</t>
  </si>
  <si>
    <t>Melvyn,front, blue, after gaboxadol</t>
  </si>
  <si>
    <t>Melvyn,front, blue, Gaboxadol</t>
  </si>
  <si>
    <t>Melvyn,front, blue, after Gaboxadol</t>
  </si>
  <si>
    <t>Melvyn,front, blue, airflow</t>
  </si>
  <si>
    <t>Melvyn,front, blue, recovery2</t>
  </si>
  <si>
    <t>Melvyn,front, blue, ATR, preredd</t>
  </si>
  <si>
    <t>Melvyn,front, blue, ATR, postredd, preair</t>
  </si>
  <si>
    <t>Melvyn,front, blue, ATR,postredd, preair</t>
  </si>
  <si>
    <t>Melvyn,front, blue, ATR, postredd</t>
  </si>
  <si>
    <t>Melvyn,front, blue, postredd</t>
  </si>
  <si>
    <t>Melvyn,front, blue,postredd</t>
  </si>
  <si>
    <t>Melvyn,front, blue, no ATR, conred</t>
  </si>
  <si>
    <t>Melvyn,front, blue, no ATR, conpost, preair</t>
  </si>
  <si>
    <t>Melvyn,front, blue, conpre</t>
  </si>
  <si>
    <t>Melvyn,front, blue, conred</t>
  </si>
  <si>
    <t>Melvyn,front, blue, conpost</t>
  </si>
  <si>
    <t>Melvyn,front, blue, pos</t>
  </si>
  <si>
    <t>Melvyn,front, blue, post</t>
  </si>
  <si>
    <t>Melvyn,front, blue, ATR, rred1</t>
  </si>
  <si>
    <t>Melvyn,front, blue, ATR, r red1</t>
  </si>
  <si>
    <t>Melvyn,front, blue, rred1</t>
  </si>
  <si>
    <t>Melvyn,front, blue, conpost, prethip</t>
  </si>
  <si>
    <t>Melvyn,front, blue, thip</t>
  </si>
  <si>
    <t>Melvyn,front, blue, wash1</t>
  </si>
  <si>
    <t>Melvyn,front, blue, wash2</t>
  </si>
  <si>
    <t>Melvyn,front, blue, wash3</t>
  </si>
  <si>
    <t>regular,front, ATR, blue</t>
  </si>
  <si>
    <t>repeated34,front, ATR, blue</t>
  </si>
  <si>
    <t>repeated16a,front, ATR, blue</t>
  </si>
  <si>
    <t>repeated16b,front, ATR, blue</t>
  </si>
  <si>
    <t>regular,check5, ATR, blue</t>
  </si>
  <si>
    <t>repeated34,adjright, ATR, blue</t>
  </si>
  <si>
    <t>repeated16a,adjright, ATR, blue</t>
  </si>
  <si>
    <t>repeated16b,adjright, ATR, blue</t>
  </si>
  <si>
    <t>repeated8a,adjright, ATR, blue</t>
  </si>
  <si>
    <t>repeated8b,adjright, ATR, blue</t>
  </si>
  <si>
    <t>repeated34,check5, ATR, blue</t>
  </si>
  <si>
    <t>repeated16a,check5, ATR, blue</t>
  </si>
  <si>
    <t>repeated16b,check5, ATR, blue</t>
  </si>
  <si>
    <t>repeated8a,check5, ATR, blue</t>
  </si>
  <si>
    <t>repeated8b,check5, ATR, blue</t>
  </si>
  <si>
    <t>repeated16a,adjfront, ATR, blue</t>
  </si>
  <si>
    <t>repeated16b,adjfront, ATR, blue</t>
  </si>
  <si>
    <t>repeated16a,adjleft, ATR, blue</t>
  </si>
  <si>
    <t>repeated16b,adjleft, ATR, blue</t>
  </si>
  <si>
    <t>Melvyn,front, blue, post red</t>
  </si>
  <si>
    <t>regular,sides, ATR, blue</t>
  </si>
  <si>
    <t>repeated8a,sides, ATR, blue</t>
  </si>
  <si>
    <t>repeated8b,sides, ATR, blue</t>
  </si>
  <si>
    <t>bodyless,regular, adjfront, ATR, blue</t>
  </si>
  <si>
    <t>bodyless,reapeated34, adjfront, ATR, blue</t>
  </si>
  <si>
    <t>bodyless,reapeated8a, adjfront, ATR, blue</t>
  </si>
  <si>
    <t>bodyless,reapeated8b, adjfront, ATR, blue</t>
  </si>
  <si>
    <t>Gluedd legs not cut</t>
  </si>
  <si>
    <t>Gluedd legs not cut, older, minus</t>
  </si>
  <si>
    <t>older, gluedd, minus</t>
  </si>
  <si>
    <t>baseline, older, gluedd, plus</t>
  </si>
  <si>
    <t>regular, older, gluedd, minus</t>
  </si>
  <si>
    <t>regular, baseline, no ATR, older, gluedd, minus</t>
  </si>
  <si>
    <t>regular, front, no ATR, gluedd, minus</t>
  </si>
  <si>
    <t>regular, ffront, no ATR, gluedd, minus</t>
  </si>
  <si>
    <t>regular, ffront, no ATR, blue, gluedd, minus</t>
  </si>
  <si>
    <t>regular, ffront, ATR, blue, gluedd, plus</t>
  </si>
  <si>
    <t>regular,ffront, ATR, blue, gluedd, plus</t>
  </si>
  <si>
    <t>regular,front, ATR, blue, gluedd, plus</t>
  </si>
  <si>
    <t>Melvyn,front, blue, ball, minus</t>
  </si>
  <si>
    <t>Melvyn,front, blue, preair, ball, plus</t>
  </si>
  <si>
    <t>Melvyn,front, blue,prered, ball, plus</t>
  </si>
  <si>
    <t>Melvyn,front, blue, preair, prered, ball, plus</t>
  </si>
  <si>
    <t>Melvyn,front, blue, no ATR, conpre, ball, minus</t>
  </si>
  <si>
    <t>Melvyn,front, blue, ATR, prered, ball, plus</t>
  </si>
  <si>
    <t>Melvyn,front, blue, ATR, ball, plus</t>
  </si>
  <si>
    <t>Melvyn,front, blue, ATR, prered, preair, ball, plus</t>
  </si>
  <si>
    <t>Melvyn,front, blue, ATR, preredd, ball, plus</t>
  </si>
  <si>
    <t>Melvyn,front, blue, conpre, ball, minus</t>
  </si>
  <si>
    <t>Melvyn,front, blue, preredd, preair, ball, plus</t>
  </si>
  <si>
    <t xml:space="preserve">repeated34,check5, ATR, blue, </t>
  </si>
  <si>
    <t xml:space="preserve">repeated8a,check5, ATR, blue, </t>
  </si>
  <si>
    <t xml:space="preserve">repeated8b,check5, ATR, blue, </t>
  </si>
  <si>
    <t>regular,adjfront, ATR, blue, cut legs</t>
  </si>
  <si>
    <t>regular,adjfront, ATR, blue, cut neck</t>
  </si>
  <si>
    <t>regular,adjfront, ATR, blue, bodyless</t>
  </si>
  <si>
    <t>repeated34,adjright, ATR, blue, side17</t>
  </si>
  <si>
    <t>repeated8a,adjright, ATR, blue, side8a</t>
  </si>
  <si>
    <t>repeated8b,adjright, ATR, blue, side8b</t>
  </si>
  <si>
    <t>repeated34,adjleft, ATR, blue, side17</t>
  </si>
  <si>
    <t>repeated8a,adjleft, ATR, blue, side8a</t>
  </si>
  <si>
    <t>repeated8b,adjleft, ATR, blue, side8b</t>
  </si>
  <si>
    <t>repeated34,adjfront, ATR, blue, front17</t>
  </si>
  <si>
    <t>repeated8b,adjfront, ATR, blue, front8b</t>
  </si>
  <si>
    <t>repeated8a,adjfront, ATR, blue, front8a</t>
  </si>
  <si>
    <t>repeated8a,adjfront, ATR, blue,  front8a</t>
  </si>
  <si>
    <t>repeated8a,adjfront, ATR, blue, front8b</t>
  </si>
  <si>
    <t>Melvyn,check12, blue, minus</t>
  </si>
  <si>
    <t>Melvyn,check12, blue, ball, minus</t>
  </si>
  <si>
    <t>Melvyn,front, blue, ball, minus, conpre</t>
  </si>
  <si>
    <t>Melvyn,front, blue, ball, minus, conred</t>
  </si>
  <si>
    <t>Melvyn,front, blue, lol</t>
  </si>
  <si>
    <t>Melvyn,front, blue, ATR, left dFB deep, lol</t>
  </si>
  <si>
    <t>Melvyn,front, blue, ATR, lol</t>
  </si>
  <si>
    <t>Melvyn,front, blue, minus, lol</t>
  </si>
  <si>
    <t>Melvyn,front, blue, ball, minus, lol</t>
  </si>
  <si>
    <t>regular,adjffront, no ATR, blue</t>
  </si>
  <si>
    <t>regular,adjlleft, no ATR, blue</t>
  </si>
  <si>
    <t>regular,adjrright, no ATR, blue</t>
  </si>
  <si>
    <t>regular, adjffront, no ATR, blue</t>
  </si>
  <si>
    <t>regular, adjlleft, no ATR, blue</t>
  </si>
  <si>
    <t>regular, adjrright, no ATR, blue</t>
  </si>
  <si>
    <t>regular, adjffront, ATR, blue</t>
  </si>
  <si>
    <t>regular, adjlleft, ATR, blue</t>
  </si>
  <si>
    <t>regular, adjrright, ATR, blue</t>
  </si>
  <si>
    <t>regular,adjffront, ATR, blue, gluedd, plus</t>
  </si>
  <si>
    <t>regular,adjlleft, ATR, blue</t>
  </si>
  <si>
    <t>regular,adjrright, ATR, blue</t>
  </si>
  <si>
    <t>regular,adjffront, ATR, blue</t>
  </si>
  <si>
    <t>regular,adjrright, ATR, blue, sidereg</t>
  </si>
  <si>
    <t>regular,adjffront, ATR, blue, gluedd, plus, frontreg</t>
  </si>
  <si>
    <t>regular,adjlleft, ATR, blue, sidereg</t>
  </si>
  <si>
    <t xml:space="preserve">regular,adjlleft, ATR, blue, </t>
  </si>
  <si>
    <t>regular,checkffront5, no ATR, blue</t>
  </si>
  <si>
    <t>regular, checkffront5, no ATR, blue</t>
  </si>
  <si>
    <t>regular, checkffront5, ATR, blue</t>
  </si>
  <si>
    <t>regular,checkffront5, ATR, blue</t>
  </si>
  <si>
    <t xml:space="preserve">regular,checkffront5, ATR, blue, </t>
  </si>
  <si>
    <t>Gluedd, First couple of minutes noisy; LED noise throughout</t>
  </si>
  <si>
    <t>baseline, Gluedd</t>
  </si>
  <si>
    <t>regular, sides, no ATR, Gluedd</t>
  </si>
  <si>
    <t>cutt</t>
  </si>
  <si>
    <t>cut</t>
  </si>
  <si>
    <t>Awful PHOT jitttering, no v-sync, cut</t>
  </si>
  <si>
    <t>Bruno: Looks bad; Dinis: it is fine, cut</t>
  </si>
  <si>
    <t>Melvyn,repeated34, front, blue, ball, minus</t>
  </si>
  <si>
    <t>Melvyn,repeated8A, front, blue, ball, minus</t>
  </si>
  <si>
    <t>Melvyn,repeated8B, front, blue, ball, minus</t>
  </si>
  <si>
    <t>Melvyn, front, blue, ball, minus, airflow</t>
  </si>
  <si>
    <t>Melvyn,repeated34, front, blue, ball, minus, airflow</t>
  </si>
  <si>
    <t>Melvyn,repeated8A, front, blue, ball, minus, airflow</t>
  </si>
  <si>
    <t>Melvyn,repeated8B, front, blue, ball, minus, airflow</t>
  </si>
  <si>
    <t>Melvyn,repeated12, front, blue, ball, minus</t>
  </si>
  <si>
    <t>104y/chrimson, 104ypre</t>
  </si>
  <si>
    <t>104y/chrimson, 104yred</t>
  </si>
  <si>
    <t>104y/chrimson, 104yrec</t>
  </si>
  <si>
    <t>104y/chrimson, 104y</t>
  </si>
  <si>
    <t>104y/chrimson, 104y, no ATR</t>
  </si>
  <si>
    <t>104y/chrimson, 104yintense</t>
  </si>
  <si>
    <t>104y/chrimson, 104yafter</t>
  </si>
  <si>
    <t>104y/chrimson, 104y, no ATR, 104yconpre</t>
  </si>
  <si>
    <t>104y/chrimson, 104y, no ATR, 104yconred</t>
  </si>
  <si>
    <t>104y/chrimson, 104y, no ATR, 104yconpost</t>
  </si>
  <si>
    <t>104y/chrimson, 104y, 104yconpre</t>
  </si>
  <si>
    <t>104y/chrimson, 104y, 104yconred</t>
  </si>
  <si>
    <t>104y/chrimson, 104y, 104yconpost</t>
  </si>
  <si>
    <t xml:space="preserve">104y/chrimson, 104y </t>
  </si>
  <si>
    <t xml:space="preserve">104y/chrimson, 104y, 104yconpre </t>
  </si>
  <si>
    <t xml:space="preserve">104y/chrimson, 104y, 104yconpost </t>
  </si>
  <si>
    <t>Melvyn,front, blue, ball, minus, conpost, onball</t>
  </si>
  <si>
    <t>Melvyn,front, blue, minus, onair</t>
  </si>
  <si>
    <t>104y/chrimson, 104y, onball</t>
  </si>
  <si>
    <t>104y/chrimson, 104y , onair</t>
  </si>
  <si>
    <t>Melvyn, front, blue, ball, minus, onball</t>
  </si>
  <si>
    <t>Melvyn, front, blue, hanging, minus, onair</t>
  </si>
  <si>
    <t>104y/chrimson, 104y, onair</t>
  </si>
  <si>
    <t>104y/chrimson, 104yconpre</t>
  </si>
  <si>
    <t>104y/chrimson, 104yconred</t>
  </si>
  <si>
    <t>104y/chrimson, 104yconpost, onball</t>
  </si>
  <si>
    <t>104y/chrimson, 104y, lol</t>
  </si>
  <si>
    <t>104y/chrimson, 104y, ttt2front</t>
  </si>
  <si>
    <t>104y/chrimson, 104y, ttt2right</t>
  </si>
  <si>
    <t>104y/chrimson, 104y, ttt2left</t>
  </si>
  <si>
    <t>104y/chrimson, 104y, ttt2random</t>
  </si>
  <si>
    <t xml:space="preserve">104y/chrimson, 104y, </t>
  </si>
  <si>
    <t>dark,</t>
  </si>
  <si>
    <t>dark,Bruno: Possibly dead towards the end; Dinis: data is good quality though, probably not dead</t>
  </si>
  <si>
    <t>dark,Dinis: data looks bad</t>
  </si>
  <si>
    <t>dark,Data a bit iffy</t>
  </si>
  <si>
    <t>dark,Dinis: data looking very iffy, i.e. noisy</t>
  </si>
  <si>
    <t>dark,Gaps</t>
  </si>
  <si>
    <t>dark,Dead fly test</t>
  </si>
  <si>
    <t>dark,2X time; Irregular gaps</t>
  </si>
  <si>
    <t>dark,Big gaps; regular in between</t>
  </si>
  <si>
    <t>dark,Irregular gaps</t>
  </si>
  <si>
    <t>dark,With legs; Problems with gaps</t>
  </si>
  <si>
    <t>dark,Glued legs not cut</t>
  </si>
  <si>
    <t>dark,Gluedd legs not cut</t>
  </si>
  <si>
    <t>dark,Glued legs not cut; Jitter due to clicking another window</t>
  </si>
  <si>
    <t>dark,baseline</t>
  </si>
  <si>
    <t>dark,red light on</t>
  </si>
  <si>
    <t>dark,red recovery</t>
  </si>
  <si>
    <t>baseline; fly 26 is a non-ATR control; 2 LFP channels: ch1 CX, ch2, OL</t>
  </si>
  <si>
    <t>dark,baseline again</t>
  </si>
  <si>
    <t>Baseline, ATR-fed 2 days after birth, 2 channels: Ch1 CX, Ch2 OL</t>
  </si>
  <si>
    <t>regular, front, no ATR; PHOT jitttery</t>
  </si>
  <si>
    <t>104y/chrimson, 104y, sleepdep1</t>
  </si>
  <si>
    <t>104y/chrimson, 104y, sleepdep2</t>
  </si>
  <si>
    <t>104y/chrimson, 104y, sleepdep3</t>
  </si>
  <si>
    <t>104y/chrimson, 104y, sleepdep4</t>
  </si>
  <si>
    <t>Tsh-GTACR</t>
  </si>
  <si>
    <t>Tsh-Chrimson</t>
  </si>
  <si>
    <t>blocks5, front, blue</t>
  </si>
  <si>
    <t>blocks5, 104y/chrimson, 104y</t>
  </si>
  <si>
    <t xml:space="preserve">blocks5, 104y/chrimson, 104y, </t>
  </si>
  <si>
    <t>blocks10, front, blue</t>
  </si>
  <si>
    <t>blocks10, front, no ATR, blue</t>
  </si>
  <si>
    <t>regular,adjffront, ATR, blue, frontreg,gluedd</t>
  </si>
  <si>
    <t>104y/chrimson, 104y, gluedd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</si>
</sst>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NumberFormat="1" applyFont="1"/>
    <xf numFmtId="0" fontId="1" fillId="0" borderId="0" xfId="0" applyFont="1"/>
    <xf numFmtId="0" fontId="0" fillId="0" borderId="0" xfId="0"/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0717-9BF1-4D4C-A430-96F9A20E59A5}">
  <dimension ref="A1:P1061"/>
  <sheetViews>
    <sheetView tabSelected="1" topLeftCell="B828" workbookViewId="0">
      <selection activeCell="P996" sqref="P996"/>
    </sheetView>
  </sheetViews>
  <sheetFormatPr defaultRowHeight="15" x14ac:dyDescent="0.25"/>
  <cols>
    <col min="1" max="1" width="9.140625" style="1"/>
    <col min="6" max="6" width="14.42578125" bestFit="1" customWidth="1"/>
    <col min="10" max="10" width="9.85546875" bestFit="1" customWidth="1"/>
    <col min="11" max="11" width="16" bestFit="1" customWidth="1"/>
    <col min="12" max="12" width="11.7109375" bestFit="1" customWidth="1"/>
    <col min="13" max="13" width="10.28515625" bestFit="1" customWidth="1"/>
    <col min="14" max="14" width="11.7109375" bestFit="1" customWidth="1"/>
    <col min="16" max="16" width="84.140625" customWidth="1"/>
  </cols>
  <sheetData>
    <row r="1" spans="1:16" x14ac:dyDescent="0.25">
      <c r="A1" s="2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13</v>
      </c>
      <c r="G1" s="3" t="s">
        <v>14</v>
      </c>
      <c r="H1" s="3" t="s">
        <v>33</v>
      </c>
      <c r="I1" s="3" t="s">
        <v>34</v>
      </c>
      <c r="J1" s="3" t="s">
        <v>32</v>
      </c>
      <c r="K1" s="3" t="s">
        <v>51</v>
      </c>
      <c r="L1" s="3" t="s">
        <v>52</v>
      </c>
      <c r="M1" s="3" t="s">
        <v>55</v>
      </c>
      <c r="N1" s="3" t="s">
        <v>56</v>
      </c>
      <c r="O1" s="3" t="s">
        <v>103</v>
      </c>
      <c r="P1" s="3" t="s">
        <v>4</v>
      </c>
    </row>
    <row r="2" spans="1:16" x14ac:dyDescent="0.25">
      <c r="A2" s="1">
        <v>44489</v>
      </c>
      <c r="B2" s="4">
        <v>1</v>
      </c>
      <c r="C2">
        <v>5</v>
      </c>
      <c r="D2">
        <v>0.1</v>
      </c>
      <c r="E2">
        <v>0.7</v>
      </c>
      <c r="F2">
        <v>1.25</v>
      </c>
      <c r="G2">
        <v>0</v>
      </c>
      <c r="H2">
        <v>0</v>
      </c>
      <c r="I2">
        <v>1</v>
      </c>
      <c r="J2">
        <v>0.4</v>
      </c>
      <c r="M2">
        <v>2</v>
      </c>
      <c r="N2">
        <v>1</v>
      </c>
      <c r="P2" t="s">
        <v>365</v>
      </c>
    </row>
    <row r="3" spans="1:16" x14ac:dyDescent="0.25">
      <c r="A3" s="1">
        <v>44489</v>
      </c>
      <c r="B3" s="4">
        <v>1</v>
      </c>
      <c r="C3">
        <v>6</v>
      </c>
      <c r="D3">
        <v>0.1</v>
      </c>
      <c r="E3">
        <v>0.7</v>
      </c>
      <c r="F3">
        <v>1.25</v>
      </c>
      <c r="G3">
        <v>0</v>
      </c>
      <c r="M3" s="5">
        <v>2</v>
      </c>
      <c r="N3" s="5">
        <v>1</v>
      </c>
      <c r="P3" t="s">
        <v>408</v>
      </c>
    </row>
    <row r="4" spans="1:16" x14ac:dyDescent="0.25">
      <c r="A4" s="1">
        <v>44489</v>
      </c>
      <c r="B4" s="4">
        <v>2</v>
      </c>
      <c r="C4">
        <v>10</v>
      </c>
      <c r="D4">
        <v>0.1</v>
      </c>
      <c r="E4">
        <v>0.7</v>
      </c>
      <c r="F4">
        <v>1.25</v>
      </c>
      <c r="G4">
        <v>0</v>
      </c>
      <c r="H4" s="5">
        <v>0</v>
      </c>
      <c r="I4" s="5">
        <v>0.4</v>
      </c>
      <c r="J4">
        <v>0.4</v>
      </c>
      <c r="M4" s="5">
        <v>2</v>
      </c>
      <c r="N4" s="5">
        <v>1</v>
      </c>
      <c r="O4">
        <v>2</v>
      </c>
      <c r="P4" s="8" t="s">
        <v>366</v>
      </c>
    </row>
    <row r="5" spans="1:16" x14ac:dyDescent="0.25">
      <c r="A5" s="1">
        <v>44489</v>
      </c>
      <c r="B5" s="4">
        <v>2</v>
      </c>
      <c r="C5">
        <v>11</v>
      </c>
      <c r="D5">
        <v>0.1</v>
      </c>
      <c r="E5">
        <v>0.7</v>
      </c>
      <c r="F5">
        <v>1.25</v>
      </c>
      <c r="G5">
        <v>0</v>
      </c>
      <c r="M5" s="5">
        <v>2</v>
      </c>
      <c r="N5" s="5">
        <v>1</v>
      </c>
      <c r="P5" t="s">
        <v>408</v>
      </c>
    </row>
    <row r="6" spans="1:16" x14ac:dyDescent="0.25">
      <c r="A6" s="1">
        <v>44491</v>
      </c>
      <c r="B6" s="4">
        <v>3</v>
      </c>
      <c r="C6">
        <v>10</v>
      </c>
      <c r="D6">
        <v>0.1</v>
      </c>
      <c r="E6">
        <v>0.7</v>
      </c>
      <c r="F6">
        <v>1.25</v>
      </c>
      <c r="G6">
        <v>0</v>
      </c>
      <c r="H6" s="5">
        <v>0</v>
      </c>
      <c r="I6" s="5">
        <v>0.4</v>
      </c>
      <c r="J6" s="5">
        <v>0.2</v>
      </c>
      <c r="M6" s="5">
        <v>2</v>
      </c>
      <c r="N6" s="5">
        <v>1</v>
      </c>
      <c r="O6">
        <v>3</v>
      </c>
      <c r="P6" s="8" t="s">
        <v>366</v>
      </c>
    </row>
    <row r="7" spans="1:16" x14ac:dyDescent="0.25">
      <c r="A7" s="1">
        <v>44491</v>
      </c>
      <c r="B7" s="4">
        <v>3</v>
      </c>
      <c r="C7">
        <v>11</v>
      </c>
      <c r="D7">
        <v>0.1</v>
      </c>
      <c r="E7">
        <v>0.7</v>
      </c>
      <c r="F7">
        <v>1.25</v>
      </c>
      <c r="G7">
        <v>0</v>
      </c>
      <c r="M7" s="5">
        <v>2</v>
      </c>
      <c r="N7" s="5">
        <v>1</v>
      </c>
      <c r="P7" t="s">
        <v>408</v>
      </c>
    </row>
    <row r="8" spans="1:16" x14ac:dyDescent="0.25">
      <c r="A8" s="1">
        <v>44491</v>
      </c>
      <c r="B8" s="4">
        <v>3</v>
      </c>
      <c r="C8">
        <v>12</v>
      </c>
      <c r="D8">
        <v>0.1</v>
      </c>
      <c r="E8">
        <v>0.7</v>
      </c>
      <c r="F8">
        <v>1.25</v>
      </c>
      <c r="G8">
        <v>1</v>
      </c>
      <c r="H8" s="5">
        <v>0</v>
      </c>
      <c r="I8" s="5">
        <v>0.4</v>
      </c>
      <c r="J8" s="5">
        <v>0.2</v>
      </c>
      <c r="M8" s="5">
        <v>2</v>
      </c>
      <c r="N8" s="5">
        <v>1</v>
      </c>
      <c r="P8" s="8" t="s">
        <v>58</v>
      </c>
    </row>
    <row r="9" spans="1:16" x14ac:dyDescent="0.25">
      <c r="A9" s="1">
        <v>44491</v>
      </c>
      <c r="B9" s="4">
        <v>4</v>
      </c>
      <c r="C9">
        <v>19</v>
      </c>
      <c r="D9">
        <v>0.1</v>
      </c>
      <c r="E9">
        <v>0.7</v>
      </c>
      <c r="F9">
        <v>1.25</v>
      </c>
      <c r="G9">
        <v>0</v>
      </c>
      <c r="H9" s="5">
        <v>0</v>
      </c>
      <c r="I9" s="5">
        <v>0.4</v>
      </c>
      <c r="J9" s="5">
        <v>0.2</v>
      </c>
      <c r="M9" s="5">
        <v>2</v>
      </c>
      <c r="N9" s="5">
        <v>1</v>
      </c>
      <c r="O9">
        <v>4</v>
      </c>
      <c r="P9" s="8" t="s">
        <v>366</v>
      </c>
    </row>
    <row r="10" spans="1:16" x14ac:dyDescent="0.25">
      <c r="A10" s="1">
        <v>44491</v>
      </c>
      <c r="B10" s="4">
        <v>4</v>
      </c>
      <c r="C10">
        <v>20</v>
      </c>
      <c r="D10">
        <v>0.1</v>
      </c>
      <c r="E10">
        <v>0.7</v>
      </c>
      <c r="F10">
        <v>1.25</v>
      </c>
      <c r="G10">
        <v>0</v>
      </c>
      <c r="M10" s="5">
        <v>2</v>
      </c>
      <c r="N10" s="5">
        <v>1</v>
      </c>
      <c r="P10" t="s">
        <v>408</v>
      </c>
    </row>
    <row r="11" spans="1:16" x14ac:dyDescent="0.25">
      <c r="A11" s="1">
        <v>44495</v>
      </c>
      <c r="B11" s="4">
        <v>5</v>
      </c>
      <c r="C11">
        <v>11</v>
      </c>
      <c r="D11">
        <v>0.1</v>
      </c>
      <c r="E11">
        <v>0.7</v>
      </c>
      <c r="F11">
        <v>1.25</v>
      </c>
      <c r="G11">
        <v>0</v>
      </c>
      <c r="H11" s="5">
        <v>0</v>
      </c>
      <c r="I11" s="5">
        <v>0.4</v>
      </c>
      <c r="J11" s="5">
        <v>0.4</v>
      </c>
      <c r="M11" s="5">
        <v>2</v>
      </c>
      <c r="N11" s="5">
        <v>1</v>
      </c>
      <c r="P11" s="8" t="s">
        <v>365</v>
      </c>
    </row>
    <row r="12" spans="1:16" x14ac:dyDescent="0.25">
      <c r="A12" s="1">
        <v>44495</v>
      </c>
      <c r="B12" s="4">
        <v>5</v>
      </c>
      <c r="C12">
        <v>12</v>
      </c>
      <c r="D12">
        <v>0.1</v>
      </c>
      <c r="E12">
        <v>0.7</v>
      </c>
      <c r="F12">
        <v>1.25</v>
      </c>
      <c r="G12">
        <v>0</v>
      </c>
      <c r="M12" s="5">
        <v>2</v>
      </c>
      <c r="N12" s="5">
        <v>1</v>
      </c>
      <c r="P12" t="s">
        <v>409</v>
      </c>
    </row>
    <row r="13" spans="1:16" x14ac:dyDescent="0.25">
      <c r="A13" s="1">
        <v>44497</v>
      </c>
      <c r="B13" s="4">
        <v>6</v>
      </c>
      <c r="C13">
        <v>8</v>
      </c>
      <c r="D13">
        <v>0.1</v>
      </c>
      <c r="E13">
        <v>0.7</v>
      </c>
      <c r="F13">
        <v>1.25</v>
      </c>
      <c r="G13">
        <v>0</v>
      </c>
      <c r="H13" s="5">
        <v>0</v>
      </c>
      <c r="I13" s="5">
        <v>0.3</v>
      </c>
      <c r="J13" s="5">
        <v>0.4</v>
      </c>
      <c r="M13" s="5">
        <v>2</v>
      </c>
      <c r="N13" s="5">
        <v>1</v>
      </c>
      <c r="P13" s="8" t="s">
        <v>366</v>
      </c>
    </row>
    <row r="14" spans="1:16" x14ac:dyDescent="0.25">
      <c r="A14" s="1">
        <v>44497</v>
      </c>
      <c r="B14" s="4">
        <v>6</v>
      </c>
      <c r="C14">
        <v>9</v>
      </c>
      <c r="D14">
        <v>0.1</v>
      </c>
      <c r="E14">
        <v>0.7</v>
      </c>
      <c r="F14">
        <v>1.25</v>
      </c>
      <c r="G14">
        <v>0</v>
      </c>
      <c r="M14" s="5">
        <v>2</v>
      </c>
      <c r="N14" s="5">
        <v>1</v>
      </c>
      <c r="P14" t="s">
        <v>408</v>
      </c>
    </row>
    <row r="15" spans="1:16" x14ac:dyDescent="0.25">
      <c r="A15" s="1">
        <v>44497</v>
      </c>
      <c r="B15" s="4">
        <v>6</v>
      </c>
      <c r="C15">
        <v>10</v>
      </c>
      <c r="D15">
        <v>0.1</v>
      </c>
      <c r="E15">
        <v>0.7</v>
      </c>
      <c r="F15">
        <v>1.25</v>
      </c>
      <c r="G15">
        <v>1</v>
      </c>
      <c r="H15" s="5">
        <v>0</v>
      </c>
      <c r="I15" s="5">
        <v>0.3</v>
      </c>
      <c r="J15" s="5">
        <v>0.4</v>
      </c>
      <c r="M15" s="5">
        <v>2</v>
      </c>
      <c r="N15" s="5">
        <v>1</v>
      </c>
      <c r="P15" t="s">
        <v>15</v>
      </c>
    </row>
    <row r="16" spans="1:16" x14ac:dyDescent="0.25">
      <c r="A16" s="1">
        <v>44497</v>
      </c>
      <c r="B16" s="4">
        <v>7</v>
      </c>
      <c r="C16">
        <v>16</v>
      </c>
      <c r="D16">
        <v>0.1</v>
      </c>
      <c r="E16">
        <v>0.7</v>
      </c>
      <c r="F16">
        <v>1.25</v>
      </c>
      <c r="G16">
        <v>0</v>
      </c>
      <c r="H16" s="5">
        <v>0</v>
      </c>
      <c r="I16" s="5">
        <v>0.4</v>
      </c>
      <c r="J16" s="5">
        <v>0.4</v>
      </c>
      <c r="M16">
        <v>2</v>
      </c>
      <c r="N16">
        <v>1</v>
      </c>
      <c r="O16">
        <v>3</v>
      </c>
      <c r="P16" s="5" t="s">
        <v>367</v>
      </c>
    </row>
    <row r="17" spans="1:16" x14ac:dyDescent="0.25">
      <c r="A17" s="1">
        <v>44497</v>
      </c>
      <c r="B17" s="4">
        <v>7</v>
      </c>
      <c r="C17">
        <v>17</v>
      </c>
      <c r="D17">
        <v>0.1</v>
      </c>
      <c r="E17">
        <v>0.7</v>
      </c>
      <c r="F17">
        <v>1.25</v>
      </c>
      <c r="G17" s="4">
        <v>1</v>
      </c>
      <c r="M17" s="5">
        <v>2</v>
      </c>
      <c r="N17" s="5">
        <v>1</v>
      </c>
      <c r="P17" t="s">
        <v>410</v>
      </c>
    </row>
    <row r="18" spans="1:16" x14ac:dyDescent="0.25">
      <c r="A18" s="1">
        <v>44503</v>
      </c>
      <c r="B18" s="4">
        <v>8</v>
      </c>
      <c r="C18">
        <v>6</v>
      </c>
      <c r="D18">
        <v>0.1</v>
      </c>
      <c r="E18">
        <v>0.7</v>
      </c>
      <c r="F18">
        <v>1.25</v>
      </c>
      <c r="G18" s="4">
        <v>1</v>
      </c>
      <c r="H18" s="5">
        <v>0</v>
      </c>
      <c r="I18" s="5">
        <v>0.4</v>
      </c>
      <c r="J18" s="5">
        <v>0.4</v>
      </c>
      <c r="M18">
        <v>2</v>
      </c>
      <c r="N18">
        <v>1</v>
      </c>
      <c r="O18">
        <v>3</v>
      </c>
      <c r="P18" s="8" t="s">
        <v>58</v>
      </c>
    </row>
    <row r="19" spans="1:16" x14ac:dyDescent="0.25">
      <c r="A19" s="1">
        <v>44503</v>
      </c>
      <c r="B19" s="4">
        <v>8</v>
      </c>
      <c r="C19">
        <v>7</v>
      </c>
      <c r="D19">
        <v>0.1</v>
      </c>
      <c r="E19">
        <v>0.7</v>
      </c>
      <c r="F19">
        <v>1.25</v>
      </c>
      <c r="G19" s="4">
        <v>0</v>
      </c>
      <c r="M19" s="5">
        <v>2</v>
      </c>
      <c r="N19" s="5">
        <v>1</v>
      </c>
      <c r="P19" t="s">
        <v>408</v>
      </c>
    </row>
    <row r="20" spans="1:16" x14ac:dyDescent="0.25">
      <c r="A20" s="1">
        <v>44503</v>
      </c>
      <c r="B20" s="4">
        <v>8</v>
      </c>
      <c r="C20">
        <v>8</v>
      </c>
      <c r="D20">
        <v>0.1</v>
      </c>
      <c r="E20">
        <v>0.7</v>
      </c>
      <c r="F20">
        <v>1.25</v>
      </c>
      <c r="G20" s="4">
        <v>0</v>
      </c>
      <c r="H20" s="5">
        <v>0</v>
      </c>
      <c r="I20" s="5">
        <v>0.4</v>
      </c>
      <c r="J20" s="5">
        <v>0.4</v>
      </c>
      <c r="M20">
        <v>2</v>
      </c>
      <c r="N20">
        <v>1</v>
      </c>
      <c r="O20">
        <v>3</v>
      </c>
      <c r="P20" t="s">
        <v>365</v>
      </c>
    </row>
    <row r="21" spans="1:16" x14ac:dyDescent="0.25">
      <c r="A21" s="1">
        <v>44503</v>
      </c>
      <c r="B21" s="4">
        <v>9</v>
      </c>
      <c r="C21">
        <v>13</v>
      </c>
      <c r="D21">
        <v>0.1</v>
      </c>
      <c r="E21">
        <v>0.7</v>
      </c>
      <c r="F21">
        <v>1.25</v>
      </c>
      <c r="G21" s="4">
        <v>0</v>
      </c>
      <c r="H21" s="5">
        <v>0</v>
      </c>
      <c r="I21" s="5">
        <v>0.4</v>
      </c>
      <c r="J21" s="5">
        <v>0.4</v>
      </c>
      <c r="M21">
        <v>2</v>
      </c>
      <c r="N21">
        <v>1</v>
      </c>
      <c r="O21">
        <v>3</v>
      </c>
      <c r="P21" t="s">
        <v>365</v>
      </c>
    </row>
    <row r="22" spans="1:16" x14ac:dyDescent="0.25">
      <c r="A22" s="1">
        <v>44503</v>
      </c>
      <c r="B22" s="4">
        <v>9</v>
      </c>
      <c r="C22">
        <v>14</v>
      </c>
      <c r="D22">
        <v>0.1</v>
      </c>
      <c r="E22">
        <v>0.7</v>
      </c>
      <c r="F22">
        <v>1.25</v>
      </c>
      <c r="G22" s="4">
        <v>0</v>
      </c>
      <c r="M22" s="5">
        <v>2</v>
      </c>
      <c r="N22" s="5">
        <v>1</v>
      </c>
      <c r="P22" t="s">
        <v>411</v>
      </c>
    </row>
    <row r="23" spans="1:16" x14ac:dyDescent="0.25">
      <c r="A23" s="1">
        <v>44509</v>
      </c>
      <c r="B23" s="4">
        <v>10</v>
      </c>
      <c r="C23">
        <v>5</v>
      </c>
      <c r="D23">
        <v>0.1</v>
      </c>
      <c r="E23">
        <v>0.7</v>
      </c>
      <c r="F23">
        <v>1.25</v>
      </c>
      <c r="G23" s="4">
        <v>0</v>
      </c>
      <c r="M23" s="5">
        <v>2</v>
      </c>
      <c r="N23" s="5">
        <v>1</v>
      </c>
      <c r="P23" t="s">
        <v>408</v>
      </c>
    </row>
    <row r="24" spans="1:16" x14ac:dyDescent="0.25">
      <c r="A24" s="1">
        <v>44509</v>
      </c>
      <c r="B24" s="4">
        <v>10</v>
      </c>
      <c r="C24">
        <v>6</v>
      </c>
      <c r="D24">
        <v>0.1</v>
      </c>
      <c r="E24">
        <v>0.7</v>
      </c>
      <c r="F24">
        <v>1.25</v>
      </c>
      <c r="G24" s="4">
        <v>0</v>
      </c>
      <c r="H24" s="5">
        <v>0</v>
      </c>
      <c r="I24" s="5">
        <v>0.4</v>
      </c>
      <c r="J24" s="5">
        <v>0.4</v>
      </c>
      <c r="M24">
        <v>2</v>
      </c>
      <c r="N24">
        <v>1</v>
      </c>
      <c r="P24" t="s">
        <v>365</v>
      </c>
    </row>
    <row r="25" spans="1:16" x14ac:dyDescent="0.25">
      <c r="A25" s="1">
        <v>44509</v>
      </c>
      <c r="B25" s="4">
        <v>10</v>
      </c>
      <c r="C25">
        <v>7</v>
      </c>
      <c r="D25">
        <v>0.1</v>
      </c>
      <c r="E25">
        <v>0.7</v>
      </c>
      <c r="F25">
        <v>1.25</v>
      </c>
      <c r="G25" s="4">
        <v>0</v>
      </c>
      <c r="H25" s="5"/>
      <c r="I25" s="5"/>
      <c r="J25" s="5"/>
      <c r="M25" s="5">
        <v>2</v>
      </c>
      <c r="N25" s="5">
        <v>1</v>
      </c>
      <c r="P25" t="s">
        <v>408</v>
      </c>
    </row>
    <row r="26" spans="1:16" x14ac:dyDescent="0.25">
      <c r="A26" s="1">
        <v>44509</v>
      </c>
      <c r="B26" s="4">
        <v>11</v>
      </c>
      <c r="C26">
        <v>12</v>
      </c>
      <c r="D26">
        <v>0.1</v>
      </c>
      <c r="E26">
        <v>0.7</v>
      </c>
      <c r="F26">
        <v>1.25</v>
      </c>
      <c r="G26" s="4">
        <v>0</v>
      </c>
      <c r="M26" s="5">
        <v>2</v>
      </c>
      <c r="N26" s="5">
        <v>1</v>
      </c>
      <c r="P26" t="s">
        <v>408</v>
      </c>
    </row>
    <row r="27" spans="1:16" x14ac:dyDescent="0.25">
      <c r="A27" s="1">
        <v>44509</v>
      </c>
      <c r="B27" s="4">
        <v>11</v>
      </c>
      <c r="C27">
        <v>13</v>
      </c>
      <c r="D27">
        <v>0.1</v>
      </c>
      <c r="E27">
        <v>0.7</v>
      </c>
      <c r="F27">
        <v>1.25</v>
      </c>
      <c r="G27" s="4">
        <v>0</v>
      </c>
      <c r="H27" s="5">
        <v>0</v>
      </c>
      <c r="I27" s="5">
        <v>0.4</v>
      </c>
      <c r="J27" s="5">
        <v>0.4</v>
      </c>
      <c r="M27">
        <v>2</v>
      </c>
      <c r="N27">
        <v>1</v>
      </c>
      <c r="P27" t="s">
        <v>364</v>
      </c>
    </row>
    <row r="28" spans="1:16" x14ac:dyDescent="0.25">
      <c r="A28" s="1">
        <v>44509</v>
      </c>
      <c r="B28" s="4">
        <v>11</v>
      </c>
      <c r="C28">
        <v>14</v>
      </c>
      <c r="D28">
        <v>0.1</v>
      </c>
      <c r="E28">
        <v>0.7</v>
      </c>
      <c r="F28">
        <v>1.25</v>
      </c>
      <c r="G28" s="4">
        <v>0</v>
      </c>
      <c r="M28" s="5">
        <v>2</v>
      </c>
      <c r="N28" s="5">
        <v>1</v>
      </c>
      <c r="P28" t="s">
        <v>408</v>
      </c>
    </row>
    <row r="29" spans="1:16" x14ac:dyDescent="0.25">
      <c r="A29" s="1">
        <v>44512</v>
      </c>
      <c r="B29" s="4">
        <v>12</v>
      </c>
      <c r="C29">
        <v>4</v>
      </c>
      <c r="D29">
        <v>0.1</v>
      </c>
      <c r="E29">
        <v>0.7</v>
      </c>
      <c r="F29">
        <v>1.25</v>
      </c>
      <c r="G29" s="4">
        <v>0</v>
      </c>
      <c r="H29" s="5">
        <v>0</v>
      </c>
      <c r="I29" s="5">
        <v>0.4</v>
      </c>
      <c r="J29" s="5">
        <v>0.4</v>
      </c>
      <c r="M29">
        <v>2</v>
      </c>
      <c r="N29">
        <v>1</v>
      </c>
      <c r="O29">
        <v>3</v>
      </c>
      <c r="P29" t="s">
        <v>364</v>
      </c>
    </row>
    <row r="30" spans="1:16" x14ac:dyDescent="0.25">
      <c r="A30" s="1">
        <v>44512</v>
      </c>
      <c r="B30" s="4">
        <v>12</v>
      </c>
      <c r="C30">
        <v>5</v>
      </c>
      <c r="D30">
        <v>0.1</v>
      </c>
      <c r="E30">
        <v>0.7</v>
      </c>
      <c r="F30">
        <v>1.25</v>
      </c>
      <c r="G30" s="4">
        <v>0</v>
      </c>
      <c r="M30" s="5">
        <v>2</v>
      </c>
      <c r="N30" s="5">
        <v>1</v>
      </c>
      <c r="P30" t="s">
        <v>408</v>
      </c>
    </row>
    <row r="31" spans="1:16" x14ac:dyDescent="0.25">
      <c r="A31" s="1">
        <v>44512</v>
      </c>
      <c r="B31" s="4">
        <v>12</v>
      </c>
      <c r="C31">
        <v>6</v>
      </c>
      <c r="D31">
        <v>0.01</v>
      </c>
      <c r="E31">
        <v>7.0000000000000007E-2</v>
      </c>
      <c r="F31">
        <v>12.5</v>
      </c>
      <c r="G31" s="4">
        <v>1</v>
      </c>
      <c r="H31" s="5">
        <v>0</v>
      </c>
      <c r="I31" s="5">
        <v>1.1000000000000001</v>
      </c>
      <c r="J31" s="5">
        <v>0.4</v>
      </c>
      <c r="M31">
        <v>2</v>
      </c>
      <c r="N31">
        <v>1</v>
      </c>
      <c r="P31" s="7" t="s">
        <v>37</v>
      </c>
    </row>
    <row r="32" spans="1:16" x14ac:dyDescent="0.25">
      <c r="A32" s="1">
        <v>44512</v>
      </c>
      <c r="B32" s="4">
        <v>12</v>
      </c>
      <c r="C32">
        <v>7</v>
      </c>
      <c r="D32">
        <v>1.3299999999999999E-2</v>
      </c>
      <c r="E32">
        <v>0.02</v>
      </c>
      <c r="F32">
        <v>30</v>
      </c>
      <c r="G32" s="4">
        <v>0</v>
      </c>
      <c r="M32" s="5">
        <v>2</v>
      </c>
      <c r="N32" s="5">
        <v>1</v>
      </c>
      <c r="P32">
        <v>0</v>
      </c>
    </row>
    <row r="33" spans="1:16" x14ac:dyDescent="0.25">
      <c r="A33" s="1">
        <v>44512</v>
      </c>
      <c r="B33" s="4">
        <v>13</v>
      </c>
      <c r="C33">
        <v>14</v>
      </c>
      <c r="D33">
        <v>0.1</v>
      </c>
      <c r="E33">
        <v>0.7</v>
      </c>
      <c r="F33">
        <v>1.25</v>
      </c>
      <c r="G33" s="4">
        <v>0</v>
      </c>
      <c r="H33" s="5">
        <v>0</v>
      </c>
      <c r="I33" s="5">
        <v>0.4</v>
      </c>
      <c r="J33" s="5">
        <v>0.4</v>
      </c>
      <c r="M33">
        <v>2</v>
      </c>
      <c r="N33">
        <v>1</v>
      </c>
      <c r="O33">
        <v>3</v>
      </c>
      <c r="P33" t="s">
        <v>364</v>
      </c>
    </row>
    <row r="34" spans="1:16" x14ac:dyDescent="0.25">
      <c r="A34" s="1">
        <v>44512</v>
      </c>
      <c r="B34" s="4">
        <v>13</v>
      </c>
      <c r="C34">
        <v>15</v>
      </c>
      <c r="D34">
        <v>0.1</v>
      </c>
      <c r="E34">
        <v>0.7</v>
      </c>
      <c r="F34">
        <v>1.25</v>
      </c>
      <c r="G34" s="4">
        <v>1</v>
      </c>
      <c r="P34" t="s">
        <v>412</v>
      </c>
    </row>
    <row r="35" spans="1:16" x14ac:dyDescent="0.25">
      <c r="A35" s="1">
        <v>44512</v>
      </c>
      <c r="B35" s="4">
        <v>13</v>
      </c>
      <c r="C35">
        <v>16</v>
      </c>
      <c r="D35">
        <v>2.6599999999999999E-2</v>
      </c>
      <c r="E35">
        <v>0.04</v>
      </c>
      <c r="F35">
        <v>15</v>
      </c>
      <c r="G35" s="4">
        <v>0</v>
      </c>
      <c r="P35">
        <v>0</v>
      </c>
    </row>
    <row r="36" spans="1:16" x14ac:dyDescent="0.25">
      <c r="A36" s="1">
        <v>44512</v>
      </c>
      <c r="B36" s="4">
        <v>13</v>
      </c>
      <c r="C36">
        <v>17</v>
      </c>
      <c r="D36">
        <v>2.6599999999999999E-2</v>
      </c>
      <c r="E36">
        <v>0.04</v>
      </c>
      <c r="F36">
        <v>15</v>
      </c>
      <c r="G36" s="4">
        <v>0</v>
      </c>
      <c r="P36" t="s">
        <v>408</v>
      </c>
    </row>
    <row r="37" spans="1:16" x14ac:dyDescent="0.25">
      <c r="A37" s="1">
        <v>44518</v>
      </c>
      <c r="B37" s="4">
        <v>14</v>
      </c>
      <c r="C37">
        <v>5</v>
      </c>
      <c r="D37">
        <f>4*1/180</f>
        <v>2.2222222222222223E-2</v>
      </c>
      <c r="E37">
        <f>28*1/180</f>
        <v>0.15555555555555556</v>
      </c>
      <c r="F37">
        <v>5.6</v>
      </c>
      <c r="G37" s="4">
        <v>0</v>
      </c>
      <c r="P37">
        <v>0</v>
      </c>
    </row>
    <row r="38" spans="1:16" x14ac:dyDescent="0.25">
      <c r="A38" s="1">
        <v>44518</v>
      </c>
      <c r="B38" s="4">
        <v>14</v>
      </c>
      <c r="C38">
        <v>6</v>
      </c>
      <c r="D38">
        <f>4*1/180</f>
        <v>2.2222222222222223E-2</v>
      </c>
      <c r="E38">
        <f>28*1/180</f>
        <v>0.15555555555555556</v>
      </c>
      <c r="F38">
        <v>5.6</v>
      </c>
      <c r="G38" s="4">
        <v>0</v>
      </c>
      <c r="P38" t="s">
        <v>408</v>
      </c>
    </row>
    <row r="39" spans="1:16" x14ac:dyDescent="0.25">
      <c r="A39" s="1">
        <v>44518</v>
      </c>
      <c r="B39" s="4">
        <v>14</v>
      </c>
      <c r="C39">
        <v>7</v>
      </c>
      <c r="D39">
        <f>3*1/180</f>
        <v>1.6666666666666666E-2</v>
      </c>
      <c r="E39">
        <f>21*1/180</f>
        <v>0.11666666666666667</v>
      </c>
      <c r="F39">
        <v>7.5</v>
      </c>
      <c r="G39" s="4">
        <v>0</v>
      </c>
      <c r="P39">
        <v>0</v>
      </c>
    </row>
    <row r="40" spans="1:16" x14ac:dyDescent="0.25">
      <c r="A40" s="1">
        <v>44518</v>
      </c>
      <c r="B40" s="4">
        <v>14</v>
      </c>
      <c r="C40">
        <v>8</v>
      </c>
      <c r="D40">
        <f>3*1/180</f>
        <v>1.6666666666666666E-2</v>
      </c>
      <c r="E40">
        <f>21*1/180</f>
        <v>0.11666666666666667</v>
      </c>
      <c r="F40">
        <v>7.5</v>
      </c>
      <c r="G40" s="4">
        <v>0</v>
      </c>
      <c r="P40" t="s">
        <v>408</v>
      </c>
    </row>
    <row r="41" spans="1:16" x14ac:dyDescent="0.25">
      <c r="A41" s="1">
        <v>44518</v>
      </c>
      <c r="B41" s="4">
        <v>14</v>
      </c>
      <c r="C41">
        <v>10</v>
      </c>
      <c r="D41">
        <f>2*1/180</f>
        <v>1.1111111111111112E-2</v>
      </c>
      <c r="E41">
        <f>10*1/180</f>
        <v>5.5555555555555552E-2</v>
      </c>
      <c r="F41">
        <v>15</v>
      </c>
      <c r="G41" s="4">
        <v>0</v>
      </c>
      <c r="P41" t="s">
        <v>5</v>
      </c>
    </row>
    <row r="42" spans="1:16" x14ac:dyDescent="0.25">
      <c r="A42" s="1">
        <v>44518</v>
      </c>
      <c r="B42" s="4">
        <v>14</v>
      </c>
      <c r="C42">
        <v>11</v>
      </c>
      <c r="D42">
        <f>2*1/180</f>
        <v>1.1111111111111112E-2</v>
      </c>
      <c r="E42">
        <f>10*1/180</f>
        <v>5.5555555555555552E-2</v>
      </c>
      <c r="F42">
        <v>15</v>
      </c>
      <c r="G42" s="4">
        <v>0</v>
      </c>
      <c r="P42" t="s">
        <v>413</v>
      </c>
    </row>
    <row r="43" spans="1:16" x14ac:dyDescent="0.25">
      <c r="A43" s="1">
        <v>44518</v>
      </c>
      <c r="B43" s="4">
        <v>14</v>
      </c>
      <c r="C43">
        <v>12</v>
      </c>
      <c r="D43">
        <f>3*1/180</f>
        <v>1.6666666666666666E-2</v>
      </c>
      <c r="E43">
        <f>21*1/180</f>
        <v>0.11666666666666667</v>
      </c>
      <c r="F43">
        <v>7.5</v>
      </c>
      <c r="G43" s="4">
        <v>0</v>
      </c>
      <c r="P43">
        <v>0</v>
      </c>
    </row>
    <row r="44" spans="1:16" x14ac:dyDescent="0.25">
      <c r="A44" s="1">
        <v>44518</v>
      </c>
      <c r="B44" s="4">
        <v>14</v>
      </c>
      <c r="C44">
        <v>13</v>
      </c>
      <c r="D44">
        <f>4*1/180</f>
        <v>2.2222222222222223E-2</v>
      </c>
      <c r="E44">
        <f>28*1/180</f>
        <v>0.15555555555555556</v>
      </c>
      <c r="F44">
        <v>5.6</v>
      </c>
      <c r="G44" s="4">
        <v>0</v>
      </c>
      <c r="P44" t="s">
        <v>6</v>
      </c>
    </row>
    <row r="45" spans="1:16" x14ac:dyDescent="0.25">
      <c r="A45" s="1">
        <v>44518</v>
      </c>
      <c r="B45" s="4">
        <v>14</v>
      </c>
      <c r="C45">
        <v>14</v>
      </c>
      <c r="D45">
        <v>0.1</v>
      </c>
      <c r="E45">
        <v>0.7</v>
      </c>
      <c r="F45">
        <v>1.25</v>
      </c>
      <c r="G45" s="4">
        <v>1</v>
      </c>
      <c r="P45" t="s">
        <v>7</v>
      </c>
    </row>
    <row r="46" spans="1:16" x14ac:dyDescent="0.25">
      <c r="A46" s="1">
        <v>44518</v>
      </c>
      <c r="B46" s="4">
        <v>15</v>
      </c>
      <c r="C46">
        <v>19</v>
      </c>
      <c r="D46">
        <f>4*1/180</f>
        <v>2.2222222222222223E-2</v>
      </c>
      <c r="E46">
        <f>28*1/180</f>
        <v>0.15555555555555556</v>
      </c>
      <c r="F46">
        <v>5.6</v>
      </c>
      <c r="G46" s="4">
        <v>0</v>
      </c>
      <c r="P46">
        <v>0</v>
      </c>
    </row>
    <row r="47" spans="1:16" x14ac:dyDescent="0.25">
      <c r="A47" s="1">
        <v>44518</v>
      </c>
      <c r="B47" s="4">
        <v>15</v>
      </c>
      <c r="C47">
        <v>20</v>
      </c>
      <c r="D47">
        <f>4*1/180</f>
        <v>2.2222222222222223E-2</v>
      </c>
      <c r="E47">
        <f>28*1/180</f>
        <v>0.15555555555555556</v>
      </c>
      <c r="F47">
        <v>5.6</v>
      </c>
      <c r="G47" s="4">
        <v>0</v>
      </c>
      <c r="P47" t="s">
        <v>408</v>
      </c>
    </row>
    <row r="48" spans="1:16" x14ac:dyDescent="0.25">
      <c r="A48" s="1">
        <v>44518</v>
      </c>
      <c r="B48" s="4">
        <v>15</v>
      </c>
      <c r="C48">
        <v>22</v>
      </c>
      <c r="D48">
        <f>3*1/180</f>
        <v>1.6666666666666666E-2</v>
      </c>
      <c r="E48">
        <f>21*1/180</f>
        <v>0.11666666666666667</v>
      </c>
      <c r="F48">
        <v>7.5</v>
      </c>
      <c r="G48" s="4">
        <v>0</v>
      </c>
      <c r="P48">
        <v>0</v>
      </c>
    </row>
    <row r="49" spans="1:16" x14ac:dyDescent="0.25">
      <c r="A49" s="1">
        <v>44518</v>
      </c>
      <c r="B49" s="4">
        <v>15</v>
      </c>
      <c r="C49">
        <v>23</v>
      </c>
      <c r="D49">
        <f>3*1/180</f>
        <v>1.6666666666666666E-2</v>
      </c>
      <c r="E49">
        <f>21*1/180</f>
        <v>0.11666666666666667</v>
      </c>
      <c r="F49">
        <v>7.5</v>
      </c>
      <c r="G49" s="4">
        <v>0</v>
      </c>
      <c r="P49" t="s">
        <v>408</v>
      </c>
    </row>
    <row r="50" spans="1:16" x14ac:dyDescent="0.25">
      <c r="A50" s="1">
        <v>44518</v>
      </c>
      <c r="B50" s="4">
        <v>15</v>
      </c>
      <c r="C50">
        <v>24</v>
      </c>
      <c r="D50">
        <f>2*1/180</f>
        <v>1.1111111111111112E-2</v>
      </c>
      <c r="E50">
        <f>10*1/180</f>
        <v>5.5555555555555552E-2</v>
      </c>
      <c r="F50">
        <v>15</v>
      </c>
      <c r="G50" s="4">
        <v>0</v>
      </c>
      <c r="P50" t="s">
        <v>5</v>
      </c>
    </row>
    <row r="51" spans="1:16" x14ac:dyDescent="0.25">
      <c r="A51" s="1">
        <v>44518</v>
      </c>
      <c r="B51" s="4">
        <v>15</v>
      </c>
      <c r="C51">
        <v>25</v>
      </c>
      <c r="D51">
        <f>2*1/180</f>
        <v>1.1111111111111112E-2</v>
      </c>
      <c r="E51">
        <f>10*1/180</f>
        <v>5.5555555555555552E-2</v>
      </c>
      <c r="F51">
        <v>15</v>
      </c>
      <c r="G51" s="4">
        <v>0</v>
      </c>
      <c r="P51" t="s">
        <v>413</v>
      </c>
    </row>
    <row r="52" spans="1:16" x14ac:dyDescent="0.25">
      <c r="A52" s="1">
        <v>44519</v>
      </c>
      <c r="B52" s="4">
        <v>16</v>
      </c>
      <c r="C52">
        <v>3</v>
      </c>
      <c r="D52">
        <v>0.1</v>
      </c>
      <c r="E52">
        <v>0.7</v>
      </c>
      <c r="F52">
        <v>1.25</v>
      </c>
      <c r="G52" s="4">
        <v>1</v>
      </c>
      <c r="P52" t="s">
        <v>7</v>
      </c>
    </row>
    <row r="53" spans="1:16" x14ac:dyDescent="0.25">
      <c r="A53" s="1">
        <v>44519</v>
      </c>
      <c r="B53" s="4">
        <v>16</v>
      </c>
      <c r="C53">
        <v>4</v>
      </c>
      <c r="D53">
        <v>0.1</v>
      </c>
      <c r="E53">
        <v>0.7</v>
      </c>
      <c r="F53">
        <v>1.25</v>
      </c>
      <c r="G53" s="4">
        <v>1</v>
      </c>
      <c r="P53" t="s">
        <v>414</v>
      </c>
    </row>
    <row r="54" spans="1:16" x14ac:dyDescent="0.25">
      <c r="A54" s="1">
        <v>44525</v>
      </c>
      <c r="B54" s="4">
        <v>17</v>
      </c>
      <c r="C54">
        <v>14</v>
      </c>
      <c r="D54">
        <f>1/180</f>
        <v>5.5555555555555558E-3</v>
      </c>
      <c r="E54">
        <f>5*1/180</f>
        <v>2.7777777777777776E-2</v>
      </c>
      <c r="F54">
        <v>30</v>
      </c>
      <c r="G54" s="4">
        <v>0</v>
      </c>
      <c r="P54" t="s">
        <v>8</v>
      </c>
    </row>
    <row r="55" spans="1:16" x14ac:dyDescent="0.25">
      <c r="A55" s="1">
        <v>44525</v>
      </c>
      <c r="B55" s="4">
        <v>17</v>
      </c>
      <c r="C55">
        <v>15</v>
      </c>
      <c r="D55">
        <f>1/180</f>
        <v>5.5555555555555558E-3</v>
      </c>
      <c r="E55">
        <f>5*1/180</f>
        <v>2.7777777777777776E-2</v>
      </c>
      <c r="F55">
        <v>30</v>
      </c>
      <c r="G55" s="4">
        <v>0</v>
      </c>
      <c r="P55" t="s">
        <v>415</v>
      </c>
    </row>
    <row r="56" spans="1:16" x14ac:dyDescent="0.25">
      <c r="A56" s="1">
        <v>44525</v>
      </c>
      <c r="B56" s="4">
        <v>17</v>
      </c>
      <c r="C56">
        <v>16</v>
      </c>
      <c r="D56">
        <f t="shared" ref="D56:D57" si="0">3*1/180</f>
        <v>1.6666666666666666E-2</v>
      </c>
      <c r="E56">
        <f t="shared" ref="E56:E57" si="1">21*1/180</f>
        <v>0.11666666666666667</v>
      </c>
      <c r="F56">
        <v>7.5</v>
      </c>
      <c r="G56" s="4">
        <v>0</v>
      </c>
      <c r="P56" t="s">
        <v>9</v>
      </c>
    </row>
    <row r="57" spans="1:16" x14ac:dyDescent="0.25">
      <c r="A57" s="1">
        <v>44525</v>
      </c>
      <c r="B57" s="4">
        <v>17</v>
      </c>
      <c r="C57">
        <v>17</v>
      </c>
      <c r="D57">
        <f t="shared" si="0"/>
        <v>1.6666666666666666E-2</v>
      </c>
      <c r="E57">
        <f t="shared" si="1"/>
        <v>0.11666666666666667</v>
      </c>
      <c r="F57">
        <v>7.5</v>
      </c>
      <c r="G57" s="4">
        <v>0</v>
      </c>
      <c r="P57" t="s">
        <v>416</v>
      </c>
    </row>
    <row r="58" spans="1:16" x14ac:dyDescent="0.25">
      <c r="A58" s="1">
        <v>44525</v>
      </c>
      <c r="B58" s="4">
        <v>17</v>
      </c>
      <c r="C58">
        <v>18</v>
      </c>
      <c r="D58">
        <f t="shared" ref="D58:D59" si="2">2*1/180</f>
        <v>1.1111111111111112E-2</v>
      </c>
      <c r="E58">
        <f t="shared" ref="E58:E59" si="3">10*1/180</f>
        <v>5.5555555555555552E-2</v>
      </c>
      <c r="F58">
        <v>15</v>
      </c>
      <c r="G58" s="4">
        <v>0</v>
      </c>
      <c r="P58" t="s">
        <v>10</v>
      </c>
    </row>
    <row r="59" spans="1:16" x14ac:dyDescent="0.25">
      <c r="A59" s="1">
        <v>44525</v>
      </c>
      <c r="B59" s="4">
        <v>17</v>
      </c>
      <c r="C59">
        <v>19</v>
      </c>
      <c r="D59">
        <f t="shared" si="2"/>
        <v>1.1111111111111112E-2</v>
      </c>
      <c r="E59">
        <f t="shared" si="3"/>
        <v>5.5555555555555552E-2</v>
      </c>
      <c r="F59">
        <v>15</v>
      </c>
      <c r="G59" s="4">
        <v>0</v>
      </c>
      <c r="P59" t="s">
        <v>417</v>
      </c>
    </row>
    <row r="60" spans="1:16" x14ac:dyDescent="0.25">
      <c r="A60" s="1">
        <v>44525</v>
      </c>
      <c r="B60" s="4">
        <v>18</v>
      </c>
      <c r="C60">
        <v>23</v>
      </c>
      <c r="D60">
        <v>0.1</v>
      </c>
      <c r="E60">
        <v>0.7</v>
      </c>
      <c r="F60">
        <v>1.25</v>
      </c>
      <c r="G60" s="4">
        <v>1</v>
      </c>
      <c r="P60" s="4" t="s">
        <v>11</v>
      </c>
    </row>
    <row r="61" spans="1:16" x14ac:dyDescent="0.25">
      <c r="A61" s="1">
        <v>44525</v>
      </c>
      <c r="B61" s="4">
        <v>18</v>
      </c>
      <c r="C61">
        <v>24</v>
      </c>
      <c r="D61">
        <v>0.1</v>
      </c>
      <c r="E61">
        <v>0.7</v>
      </c>
      <c r="F61">
        <v>1.25</v>
      </c>
      <c r="G61" s="4">
        <v>1</v>
      </c>
      <c r="P61" t="s">
        <v>418</v>
      </c>
    </row>
    <row r="62" spans="1:16" x14ac:dyDescent="0.25">
      <c r="A62" s="1">
        <v>44525</v>
      </c>
      <c r="B62" s="4">
        <v>18</v>
      </c>
      <c r="C62">
        <v>25</v>
      </c>
      <c r="D62">
        <f t="shared" ref="D62:D63" si="4">3*1/180</f>
        <v>1.6666666666666666E-2</v>
      </c>
      <c r="E62">
        <f t="shared" ref="E62:E63" si="5">21*1/180</f>
        <v>0.11666666666666667</v>
      </c>
      <c r="F62">
        <v>7.5</v>
      </c>
      <c r="G62" s="4">
        <v>1</v>
      </c>
      <c r="P62" t="s">
        <v>11</v>
      </c>
    </row>
    <row r="63" spans="1:16" x14ac:dyDescent="0.25">
      <c r="A63" s="1">
        <v>44525</v>
      </c>
      <c r="B63" s="4">
        <v>18</v>
      </c>
      <c r="C63">
        <v>26</v>
      </c>
      <c r="D63">
        <f t="shared" si="4"/>
        <v>1.6666666666666666E-2</v>
      </c>
      <c r="E63">
        <f t="shared" si="5"/>
        <v>0.11666666666666667</v>
      </c>
      <c r="F63">
        <v>7.5</v>
      </c>
      <c r="G63" s="4">
        <v>1</v>
      </c>
      <c r="P63" t="s">
        <v>418</v>
      </c>
    </row>
    <row r="64" spans="1:16" x14ac:dyDescent="0.25">
      <c r="A64" s="1">
        <v>44525</v>
      </c>
      <c r="B64" s="4">
        <v>18</v>
      </c>
      <c r="C64">
        <v>27</v>
      </c>
      <c r="D64">
        <f t="shared" ref="D64:D65" si="6">2*1/180</f>
        <v>1.1111111111111112E-2</v>
      </c>
      <c r="E64">
        <f t="shared" ref="E64:E65" si="7">10*1/180</f>
        <v>5.5555555555555552E-2</v>
      </c>
      <c r="F64">
        <v>15</v>
      </c>
      <c r="G64" s="4">
        <v>1</v>
      </c>
      <c r="P64" t="s">
        <v>11</v>
      </c>
    </row>
    <row r="65" spans="1:16" x14ac:dyDescent="0.25">
      <c r="A65" s="1">
        <v>44525</v>
      </c>
      <c r="B65" s="4">
        <v>18</v>
      </c>
      <c r="C65">
        <v>28</v>
      </c>
      <c r="D65">
        <f t="shared" si="6"/>
        <v>1.1111111111111112E-2</v>
      </c>
      <c r="E65">
        <f t="shared" si="7"/>
        <v>5.5555555555555552E-2</v>
      </c>
      <c r="F65">
        <v>15</v>
      </c>
      <c r="G65" s="4">
        <v>1</v>
      </c>
      <c r="P65" t="s">
        <v>418</v>
      </c>
    </row>
    <row r="66" spans="1:16" x14ac:dyDescent="0.25">
      <c r="A66" s="1">
        <v>44525</v>
      </c>
      <c r="B66" s="4">
        <v>18</v>
      </c>
      <c r="C66">
        <v>29</v>
      </c>
      <c r="D66">
        <f t="shared" ref="D66:D67" si="8">1/180</f>
        <v>5.5555555555555558E-3</v>
      </c>
      <c r="E66">
        <f t="shared" ref="E66:E67" si="9">5*1/180</f>
        <v>2.7777777777777776E-2</v>
      </c>
      <c r="F66">
        <v>30</v>
      </c>
      <c r="G66" s="4">
        <v>1</v>
      </c>
      <c r="P66" t="s">
        <v>11</v>
      </c>
    </row>
    <row r="67" spans="1:16" x14ac:dyDescent="0.25">
      <c r="A67" s="1">
        <v>44525</v>
      </c>
      <c r="B67" s="4">
        <v>18</v>
      </c>
      <c r="C67">
        <v>30</v>
      </c>
      <c r="D67">
        <f t="shared" si="8"/>
        <v>5.5555555555555558E-3</v>
      </c>
      <c r="E67">
        <f t="shared" si="9"/>
        <v>2.7777777777777776E-2</v>
      </c>
      <c r="F67">
        <v>30</v>
      </c>
      <c r="G67" s="4">
        <v>1</v>
      </c>
      <c r="P67" t="s">
        <v>418</v>
      </c>
    </row>
    <row r="68" spans="1:16" x14ac:dyDescent="0.25">
      <c r="A68" s="1">
        <v>44532</v>
      </c>
      <c r="B68">
        <v>19</v>
      </c>
      <c r="C68">
        <v>3</v>
      </c>
      <c r="D68">
        <f>1/200</f>
        <v>5.0000000000000001E-3</v>
      </c>
      <c r="E68">
        <f>5*1/200</f>
        <v>2.5000000000000001E-2</v>
      </c>
      <c r="F68">
        <f>33.3</f>
        <v>33.299999999999997</v>
      </c>
      <c r="G68">
        <v>0</v>
      </c>
      <c r="H68">
        <v>-1</v>
      </c>
      <c r="I68">
        <v>1.2</v>
      </c>
      <c r="J68">
        <v>0.4</v>
      </c>
      <c r="M68">
        <v>2</v>
      </c>
      <c r="N68">
        <v>1</v>
      </c>
      <c r="P68">
        <v>0</v>
      </c>
    </row>
    <row r="69" spans="1:16" x14ac:dyDescent="0.25">
      <c r="A69" s="1">
        <v>44532</v>
      </c>
      <c r="B69" s="4">
        <v>19</v>
      </c>
      <c r="C69">
        <v>8</v>
      </c>
      <c r="D69" s="4">
        <f>1/200</f>
        <v>5.0000000000000001E-3</v>
      </c>
      <c r="E69" s="4">
        <f>5*1/200</f>
        <v>2.5000000000000001E-2</v>
      </c>
      <c r="F69" s="4">
        <f>33.3</f>
        <v>33.299999999999997</v>
      </c>
      <c r="G69" s="4">
        <v>0</v>
      </c>
      <c r="P69" t="s">
        <v>408</v>
      </c>
    </row>
    <row r="70" spans="1:16" x14ac:dyDescent="0.25">
      <c r="A70" s="1">
        <v>44532</v>
      </c>
      <c r="B70" s="4">
        <v>19</v>
      </c>
      <c r="C70">
        <v>6</v>
      </c>
      <c r="D70">
        <f>1/200</f>
        <v>5.0000000000000001E-3</v>
      </c>
      <c r="E70">
        <f>7*1/200</f>
        <v>3.5000000000000003E-2</v>
      </c>
      <c r="F70" s="4">
        <f t="shared" ref="F70:F113" si="10">1/(D70+E70)</f>
        <v>25</v>
      </c>
      <c r="G70" s="4">
        <v>0</v>
      </c>
      <c r="H70" s="5">
        <v>-1</v>
      </c>
      <c r="I70" s="5">
        <v>1.2</v>
      </c>
      <c r="J70" s="5">
        <v>0.4</v>
      </c>
      <c r="M70">
        <v>2</v>
      </c>
      <c r="N70">
        <v>1</v>
      </c>
      <c r="P70">
        <v>0</v>
      </c>
    </row>
    <row r="71" spans="1:16" x14ac:dyDescent="0.25">
      <c r="A71" s="1">
        <v>44532</v>
      </c>
      <c r="B71" s="4">
        <v>19</v>
      </c>
      <c r="C71">
        <v>7</v>
      </c>
      <c r="D71" s="4">
        <f>1/200</f>
        <v>5.0000000000000001E-3</v>
      </c>
      <c r="E71" s="4">
        <f>7*1/200</f>
        <v>3.5000000000000003E-2</v>
      </c>
      <c r="F71" s="4">
        <f t="shared" si="10"/>
        <v>25</v>
      </c>
      <c r="G71" s="5">
        <v>0</v>
      </c>
      <c r="P71" t="s">
        <v>408</v>
      </c>
    </row>
    <row r="72" spans="1:16" x14ac:dyDescent="0.25">
      <c r="A72" s="1">
        <v>44532</v>
      </c>
      <c r="B72" s="4">
        <v>19</v>
      </c>
      <c r="C72">
        <v>9</v>
      </c>
      <c r="D72">
        <f>2*1/200</f>
        <v>0.01</v>
      </c>
      <c r="E72">
        <f>14*1/200</f>
        <v>7.0000000000000007E-2</v>
      </c>
      <c r="F72" s="4">
        <f t="shared" si="10"/>
        <v>12.5</v>
      </c>
      <c r="G72" s="5">
        <v>0</v>
      </c>
      <c r="H72" s="5">
        <v>0</v>
      </c>
      <c r="I72" s="5">
        <v>1.1000000000000001</v>
      </c>
      <c r="J72" s="5">
        <v>0.4</v>
      </c>
      <c r="M72">
        <v>2</v>
      </c>
      <c r="N72">
        <v>1</v>
      </c>
      <c r="P72" t="s">
        <v>147</v>
      </c>
    </row>
    <row r="73" spans="1:16" x14ac:dyDescent="0.25">
      <c r="A73" s="1">
        <v>44532</v>
      </c>
      <c r="B73" s="4">
        <v>19</v>
      </c>
      <c r="C73">
        <v>10</v>
      </c>
      <c r="D73" s="4">
        <f>2*1/200</f>
        <v>0.01</v>
      </c>
      <c r="E73" s="4">
        <f>14*1/200</f>
        <v>7.0000000000000007E-2</v>
      </c>
      <c r="F73" s="4">
        <f t="shared" si="10"/>
        <v>12.5</v>
      </c>
      <c r="G73" s="5">
        <v>0</v>
      </c>
      <c r="P73" t="s">
        <v>408</v>
      </c>
    </row>
    <row r="74" spans="1:16" x14ac:dyDescent="0.25">
      <c r="A74" s="1">
        <v>44532</v>
      </c>
      <c r="B74" s="4">
        <v>19</v>
      </c>
      <c r="C74">
        <v>11</v>
      </c>
      <c r="D74">
        <f>4*1/200</f>
        <v>0.02</v>
      </c>
      <c r="E74">
        <f>28*1/200</f>
        <v>0.14000000000000001</v>
      </c>
      <c r="F74" s="4">
        <f t="shared" si="10"/>
        <v>6.25</v>
      </c>
      <c r="G74" s="5">
        <v>0</v>
      </c>
      <c r="H74" s="5">
        <v>-2.5</v>
      </c>
      <c r="I74" s="5">
        <v>1.2</v>
      </c>
      <c r="J74" s="5">
        <v>0.4</v>
      </c>
      <c r="M74">
        <v>2</v>
      </c>
      <c r="N74">
        <v>1</v>
      </c>
      <c r="O74">
        <v>2</v>
      </c>
      <c r="P74" t="s">
        <v>154</v>
      </c>
    </row>
    <row r="75" spans="1:16" x14ac:dyDescent="0.25">
      <c r="A75" s="1">
        <v>44532</v>
      </c>
      <c r="B75" s="4">
        <v>19</v>
      </c>
      <c r="C75">
        <v>12</v>
      </c>
      <c r="D75" s="4">
        <f>4*1/200</f>
        <v>0.02</v>
      </c>
      <c r="E75" s="4">
        <f>28*1/200</f>
        <v>0.14000000000000001</v>
      </c>
      <c r="F75" s="4">
        <f t="shared" si="10"/>
        <v>6.25</v>
      </c>
      <c r="G75" s="5">
        <v>0</v>
      </c>
      <c r="P75" t="s">
        <v>408</v>
      </c>
    </row>
    <row r="76" spans="1:16" x14ac:dyDescent="0.25">
      <c r="A76" s="1">
        <v>44532</v>
      </c>
      <c r="B76" s="4">
        <v>19</v>
      </c>
      <c r="C76">
        <v>13</v>
      </c>
      <c r="D76">
        <f>20*1/200</f>
        <v>0.1</v>
      </c>
      <c r="E76">
        <f>140*1/200</f>
        <v>0.7</v>
      </c>
      <c r="F76" s="4">
        <f t="shared" si="10"/>
        <v>1.25</v>
      </c>
      <c r="G76" s="5">
        <v>0</v>
      </c>
      <c r="H76" s="5">
        <v>0</v>
      </c>
      <c r="I76" s="5">
        <v>0.4</v>
      </c>
      <c r="J76" s="5">
        <v>0.4</v>
      </c>
      <c r="M76">
        <v>2</v>
      </c>
      <c r="N76">
        <v>1</v>
      </c>
      <c r="O76">
        <v>2</v>
      </c>
      <c r="P76" t="s">
        <v>364</v>
      </c>
    </row>
    <row r="77" spans="1:16" x14ac:dyDescent="0.25">
      <c r="A77" s="1">
        <v>44532</v>
      </c>
      <c r="B77" s="4">
        <v>19</v>
      </c>
      <c r="C77">
        <v>14</v>
      </c>
      <c r="D77" s="4">
        <f>20*1/200</f>
        <v>0.1</v>
      </c>
      <c r="E77" s="4">
        <f>140*1/200</f>
        <v>0.7</v>
      </c>
      <c r="F77" s="4">
        <f t="shared" si="10"/>
        <v>1.25</v>
      </c>
      <c r="G77" s="5">
        <v>0</v>
      </c>
      <c r="P77" t="s">
        <v>408</v>
      </c>
    </row>
    <row r="78" spans="1:16" x14ac:dyDescent="0.25">
      <c r="A78" s="1">
        <v>44532</v>
      </c>
      <c r="B78" s="4">
        <v>19</v>
      </c>
      <c r="C78">
        <v>15</v>
      </c>
      <c r="D78">
        <f>1*1/200</f>
        <v>5.0000000000000001E-3</v>
      </c>
      <c r="E78">
        <f>4*1/200</f>
        <v>0.02</v>
      </c>
      <c r="F78" s="4">
        <f t="shared" si="10"/>
        <v>40</v>
      </c>
      <c r="G78" s="5">
        <v>0</v>
      </c>
      <c r="P78">
        <v>0</v>
      </c>
    </row>
    <row r="79" spans="1:16" x14ac:dyDescent="0.25">
      <c r="A79" s="1">
        <v>44532</v>
      </c>
      <c r="B79" s="4">
        <v>19</v>
      </c>
      <c r="C79">
        <v>16</v>
      </c>
      <c r="D79" s="4">
        <f>1*1/200</f>
        <v>5.0000000000000001E-3</v>
      </c>
      <c r="E79" s="4">
        <f>4*1/200</f>
        <v>0.02</v>
      </c>
      <c r="F79" s="4">
        <f t="shared" si="10"/>
        <v>40</v>
      </c>
      <c r="G79" s="5">
        <v>0</v>
      </c>
      <c r="P79" t="s">
        <v>408</v>
      </c>
    </row>
    <row r="80" spans="1:16" x14ac:dyDescent="0.25">
      <c r="A80" s="1">
        <v>44538</v>
      </c>
      <c r="B80">
        <v>20</v>
      </c>
      <c r="C80">
        <v>8</v>
      </c>
      <c r="D80" s="4">
        <f>2*1/200</f>
        <v>0.01</v>
      </c>
      <c r="E80" s="4">
        <f>14*1/200</f>
        <v>7.0000000000000007E-2</v>
      </c>
      <c r="F80" s="4">
        <f t="shared" si="10"/>
        <v>12.5</v>
      </c>
      <c r="G80" s="5">
        <v>0</v>
      </c>
      <c r="H80" s="5">
        <v>0</v>
      </c>
      <c r="I80" s="5">
        <v>1.1000000000000001</v>
      </c>
      <c r="J80" s="5">
        <v>0.4</v>
      </c>
      <c r="M80">
        <v>2</v>
      </c>
      <c r="N80">
        <v>1</v>
      </c>
      <c r="P80" t="s">
        <v>147</v>
      </c>
    </row>
    <row r="81" spans="1:16" x14ac:dyDescent="0.25">
      <c r="A81" s="1">
        <v>44538</v>
      </c>
      <c r="B81" s="4">
        <v>20</v>
      </c>
      <c r="C81">
        <v>9</v>
      </c>
      <c r="D81" s="4">
        <f>2*1/200</f>
        <v>0.01</v>
      </c>
      <c r="E81" s="4">
        <f>14*1/200</f>
        <v>7.0000000000000007E-2</v>
      </c>
      <c r="F81" s="4">
        <f t="shared" si="10"/>
        <v>12.5</v>
      </c>
      <c r="G81" s="5">
        <v>0</v>
      </c>
      <c r="H81">
        <v>0</v>
      </c>
      <c r="I81">
        <v>1.1000000000000001</v>
      </c>
      <c r="J81">
        <v>0.4</v>
      </c>
      <c r="M81">
        <v>2</v>
      </c>
      <c r="N81">
        <v>1</v>
      </c>
      <c r="P81" t="s">
        <v>408</v>
      </c>
    </row>
    <row r="82" spans="1:16" x14ac:dyDescent="0.25">
      <c r="A82" s="1">
        <v>44538</v>
      </c>
      <c r="B82" s="4">
        <v>20</v>
      </c>
      <c r="C82">
        <v>10</v>
      </c>
      <c r="D82" s="4">
        <f>4*1/200</f>
        <v>0.02</v>
      </c>
      <c r="E82" s="4">
        <f>28*1/200</f>
        <v>0.14000000000000001</v>
      </c>
      <c r="F82" s="4">
        <f t="shared" si="10"/>
        <v>6.25</v>
      </c>
      <c r="G82" s="5">
        <v>0</v>
      </c>
      <c r="H82" s="5">
        <v>0</v>
      </c>
      <c r="I82" s="5">
        <v>1.2</v>
      </c>
      <c r="J82" s="5">
        <v>0.4</v>
      </c>
      <c r="M82">
        <v>2</v>
      </c>
      <c r="N82">
        <v>1</v>
      </c>
      <c r="P82" t="s">
        <v>147</v>
      </c>
    </row>
    <row r="83" spans="1:16" x14ac:dyDescent="0.25">
      <c r="A83" s="1">
        <v>44538</v>
      </c>
      <c r="B83" s="4">
        <v>20</v>
      </c>
      <c r="C83">
        <v>11</v>
      </c>
      <c r="D83" s="4">
        <f>4*1/200</f>
        <v>0.02</v>
      </c>
      <c r="E83" s="4">
        <f>28*1/200</f>
        <v>0.14000000000000001</v>
      </c>
      <c r="F83" s="4">
        <f t="shared" si="10"/>
        <v>6.25</v>
      </c>
      <c r="G83" s="5">
        <v>0</v>
      </c>
      <c r="P83" t="s">
        <v>408</v>
      </c>
    </row>
    <row r="84" spans="1:16" x14ac:dyDescent="0.25">
      <c r="A84" s="1">
        <v>44538</v>
      </c>
      <c r="B84" s="4">
        <v>20</v>
      </c>
      <c r="C84">
        <v>12</v>
      </c>
      <c r="D84" s="4">
        <f>1/200</f>
        <v>5.0000000000000001E-3</v>
      </c>
      <c r="E84" s="4">
        <f>7*1/200</f>
        <v>3.5000000000000003E-2</v>
      </c>
      <c r="F84" s="4">
        <f t="shared" si="10"/>
        <v>25</v>
      </c>
      <c r="G84" s="5">
        <v>0</v>
      </c>
      <c r="H84" s="5">
        <v>-1</v>
      </c>
      <c r="I84" s="5">
        <v>1.2</v>
      </c>
      <c r="J84" s="5">
        <v>0.4</v>
      </c>
      <c r="M84">
        <v>2</v>
      </c>
      <c r="N84">
        <v>1</v>
      </c>
      <c r="P84">
        <v>0</v>
      </c>
    </row>
    <row r="85" spans="1:16" x14ac:dyDescent="0.25">
      <c r="A85" s="1">
        <v>44538</v>
      </c>
      <c r="B85" s="4">
        <v>20</v>
      </c>
      <c r="C85">
        <v>13</v>
      </c>
      <c r="D85" s="4">
        <f>1/200</f>
        <v>5.0000000000000001E-3</v>
      </c>
      <c r="E85" s="4">
        <f>7*1/200</f>
        <v>3.5000000000000003E-2</v>
      </c>
      <c r="F85" s="4">
        <f t="shared" si="10"/>
        <v>25</v>
      </c>
      <c r="G85" s="5">
        <v>0</v>
      </c>
      <c r="P85" t="s">
        <v>408</v>
      </c>
    </row>
    <row r="86" spans="1:16" x14ac:dyDescent="0.25">
      <c r="A86" s="1">
        <v>44538</v>
      </c>
      <c r="B86" s="4">
        <v>20</v>
      </c>
      <c r="C86">
        <v>14</v>
      </c>
      <c r="D86" s="4">
        <f>1/200</f>
        <v>5.0000000000000001E-3</v>
      </c>
      <c r="E86" s="4">
        <f>5*1/200</f>
        <v>2.5000000000000001E-2</v>
      </c>
      <c r="F86" s="4">
        <f t="shared" ref="F86:F87" si="11">33.3</f>
        <v>33.299999999999997</v>
      </c>
      <c r="G86" s="5">
        <v>0</v>
      </c>
      <c r="H86">
        <v>-1</v>
      </c>
      <c r="I86">
        <v>1.2</v>
      </c>
      <c r="J86">
        <v>0.4</v>
      </c>
      <c r="M86">
        <v>2</v>
      </c>
      <c r="N86">
        <v>1</v>
      </c>
      <c r="O86">
        <v>1</v>
      </c>
      <c r="P86">
        <v>0</v>
      </c>
    </row>
    <row r="87" spans="1:16" x14ac:dyDescent="0.25">
      <c r="A87" s="1">
        <v>44538</v>
      </c>
      <c r="B87" s="4">
        <v>20</v>
      </c>
      <c r="C87">
        <v>15</v>
      </c>
      <c r="D87" s="4">
        <f>1/200</f>
        <v>5.0000000000000001E-3</v>
      </c>
      <c r="E87" s="4">
        <f>5*1/200</f>
        <v>2.5000000000000001E-2</v>
      </c>
      <c r="F87" s="4">
        <f t="shared" si="11"/>
        <v>33.299999999999997</v>
      </c>
      <c r="G87" s="5">
        <v>0</v>
      </c>
      <c r="P87" t="s">
        <v>408</v>
      </c>
    </row>
    <row r="88" spans="1:16" x14ac:dyDescent="0.25">
      <c r="A88" s="1">
        <v>44538</v>
      </c>
      <c r="B88" s="4">
        <v>20</v>
      </c>
      <c r="C88">
        <v>16</v>
      </c>
      <c r="D88" s="4">
        <f>1*1/200</f>
        <v>5.0000000000000001E-3</v>
      </c>
      <c r="E88" s="4">
        <f>4*1/200</f>
        <v>0.02</v>
      </c>
      <c r="F88" s="4">
        <f t="shared" si="10"/>
        <v>40</v>
      </c>
      <c r="G88" s="5">
        <v>0</v>
      </c>
      <c r="P88">
        <v>0</v>
      </c>
    </row>
    <row r="89" spans="1:16" x14ac:dyDescent="0.25">
      <c r="A89" s="1">
        <v>44538</v>
      </c>
      <c r="B89" s="4">
        <v>20</v>
      </c>
      <c r="C89">
        <v>17</v>
      </c>
      <c r="D89" s="4">
        <f>1*1/200</f>
        <v>5.0000000000000001E-3</v>
      </c>
      <c r="E89" s="4">
        <f>4*1/200</f>
        <v>0.02</v>
      </c>
      <c r="F89" s="4">
        <f t="shared" si="10"/>
        <v>40</v>
      </c>
      <c r="G89" s="5">
        <v>0</v>
      </c>
      <c r="P89" t="s">
        <v>408</v>
      </c>
    </row>
    <row r="90" spans="1:16" x14ac:dyDescent="0.25">
      <c r="A90" s="1">
        <v>44538</v>
      </c>
      <c r="B90" s="4">
        <v>20</v>
      </c>
      <c r="C90">
        <v>23</v>
      </c>
      <c r="D90" s="4">
        <f>20*1/200</f>
        <v>0.1</v>
      </c>
      <c r="E90" s="4">
        <f>140*1/200</f>
        <v>0.7</v>
      </c>
      <c r="F90" s="4">
        <f t="shared" si="10"/>
        <v>1.25</v>
      </c>
      <c r="G90" s="5">
        <v>1</v>
      </c>
      <c r="H90" s="5">
        <v>0</v>
      </c>
      <c r="I90" s="5">
        <v>0.4</v>
      </c>
      <c r="J90" s="5">
        <v>0.4</v>
      </c>
      <c r="P90" t="s">
        <v>16</v>
      </c>
    </row>
    <row r="91" spans="1:16" x14ac:dyDescent="0.25">
      <c r="A91" s="1">
        <v>44538</v>
      </c>
      <c r="B91" s="4">
        <v>20</v>
      </c>
      <c r="C91">
        <v>24</v>
      </c>
      <c r="D91" s="4">
        <f>20*1/200</f>
        <v>0.1</v>
      </c>
      <c r="E91" s="4">
        <f>140*1/200</f>
        <v>0.7</v>
      </c>
      <c r="F91" s="4">
        <f t="shared" si="10"/>
        <v>1.25</v>
      </c>
      <c r="G91" s="5">
        <v>0</v>
      </c>
      <c r="P91" t="s">
        <v>408</v>
      </c>
    </row>
    <row r="92" spans="1:16" x14ac:dyDescent="0.25">
      <c r="A92" s="1">
        <v>44538</v>
      </c>
      <c r="B92">
        <v>21</v>
      </c>
      <c r="C92">
        <v>29</v>
      </c>
      <c r="D92" s="4">
        <f>4*1/200</f>
        <v>0.02</v>
      </c>
      <c r="E92" s="4">
        <f>28*1/200</f>
        <v>0.14000000000000001</v>
      </c>
      <c r="F92" s="4">
        <f t="shared" si="10"/>
        <v>6.25</v>
      </c>
      <c r="G92" s="5">
        <v>0</v>
      </c>
      <c r="H92" s="5">
        <v>0</v>
      </c>
      <c r="I92" s="5">
        <v>1.2</v>
      </c>
      <c r="J92" s="5">
        <v>0.4</v>
      </c>
      <c r="M92">
        <v>2</v>
      </c>
      <c r="N92">
        <v>1</v>
      </c>
      <c r="O92">
        <v>2</v>
      </c>
      <c r="P92" t="s">
        <v>147</v>
      </c>
    </row>
    <row r="93" spans="1:16" x14ac:dyDescent="0.25">
      <c r="A93" s="1">
        <v>44538</v>
      </c>
      <c r="B93" s="4">
        <v>21</v>
      </c>
      <c r="C93">
        <v>30</v>
      </c>
      <c r="D93" s="4">
        <f>4*1/200</f>
        <v>0.02</v>
      </c>
      <c r="E93" s="4">
        <f>28*1/200</f>
        <v>0.14000000000000001</v>
      </c>
      <c r="F93" s="4">
        <f t="shared" si="10"/>
        <v>6.25</v>
      </c>
      <c r="G93" s="5">
        <v>0</v>
      </c>
      <c r="P93" t="s">
        <v>408</v>
      </c>
    </row>
    <row r="94" spans="1:16" x14ac:dyDescent="0.25">
      <c r="A94" s="1">
        <v>44538</v>
      </c>
      <c r="B94" s="4">
        <v>21</v>
      </c>
      <c r="C94">
        <v>31</v>
      </c>
      <c r="D94" s="4">
        <f>2*1/200</f>
        <v>0.01</v>
      </c>
      <c r="E94" s="4">
        <f>14*1/200</f>
        <v>7.0000000000000007E-2</v>
      </c>
      <c r="F94" s="4">
        <f t="shared" si="10"/>
        <v>12.5</v>
      </c>
      <c r="G94" s="5">
        <v>0</v>
      </c>
      <c r="H94" s="5">
        <v>0</v>
      </c>
      <c r="I94" s="5">
        <v>1.1000000000000001</v>
      </c>
      <c r="J94" s="5">
        <v>0.4</v>
      </c>
      <c r="M94">
        <v>2</v>
      </c>
      <c r="N94">
        <v>1</v>
      </c>
      <c r="P94" t="s">
        <v>147</v>
      </c>
    </row>
    <row r="95" spans="1:16" x14ac:dyDescent="0.25">
      <c r="A95" s="1">
        <v>44538</v>
      </c>
      <c r="B95" s="4">
        <v>21</v>
      </c>
      <c r="C95">
        <v>32</v>
      </c>
      <c r="D95" s="4">
        <f>2*1/200</f>
        <v>0.01</v>
      </c>
      <c r="E95" s="4">
        <f>14*1/200</f>
        <v>7.0000000000000007E-2</v>
      </c>
      <c r="F95" s="4">
        <f t="shared" si="10"/>
        <v>12.5</v>
      </c>
      <c r="G95" s="5">
        <v>0</v>
      </c>
      <c r="P95" t="s">
        <v>408</v>
      </c>
    </row>
    <row r="96" spans="1:16" x14ac:dyDescent="0.25">
      <c r="A96" s="1">
        <v>44538</v>
      </c>
      <c r="B96" s="4">
        <v>21</v>
      </c>
      <c r="C96">
        <v>33</v>
      </c>
      <c r="D96" s="4">
        <f>1/200</f>
        <v>5.0000000000000001E-3</v>
      </c>
      <c r="E96" s="4">
        <f>7*1/200</f>
        <v>3.5000000000000003E-2</v>
      </c>
      <c r="F96" s="4">
        <f t="shared" si="10"/>
        <v>25</v>
      </c>
      <c r="G96" s="5">
        <v>0</v>
      </c>
      <c r="H96" s="5">
        <v>-1</v>
      </c>
      <c r="I96" s="5">
        <v>1.2</v>
      </c>
      <c r="J96" s="5">
        <v>0.4</v>
      </c>
      <c r="M96">
        <v>2</v>
      </c>
      <c r="N96">
        <v>1</v>
      </c>
      <c r="P96">
        <v>0</v>
      </c>
    </row>
    <row r="97" spans="1:16" x14ac:dyDescent="0.25">
      <c r="A97" s="1">
        <v>44538</v>
      </c>
      <c r="B97" s="4">
        <v>21</v>
      </c>
      <c r="C97">
        <v>34</v>
      </c>
      <c r="D97" s="4">
        <f>1/200</f>
        <v>5.0000000000000001E-3</v>
      </c>
      <c r="E97" s="4">
        <f>7*1/200</f>
        <v>3.5000000000000003E-2</v>
      </c>
      <c r="F97" s="4">
        <f t="shared" si="10"/>
        <v>25</v>
      </c>
      <c r="G97" s="5">
        <v>0</v>
      </c>
      <c r="P97" t="s">
        <v>408</v>
      </c>
    </row>
    <row r="98" spans="1:16" x14ac:dyDescent="0.25">
      <c r="A98" s="1">
        <v>44538</v>
      </c>
      <c r="B98" s="4">
        <v>21</v>
      </c>
      <c r="C98">
        <v>35</v>
      </c>
      <c r="D98" s="4">
        <f>1/200</f>
        <v>5.0000000000000001E-3</v>
      </c>
      <c r="E98" s="4">
        <f>5*1/200</f>
        <v>2.5000000000000001E-2</v>
      </c>
      <c r="F98" s="4">
        <f t="shared" ref="F98:F99" si="12">33.3</f>
        <v>33.299999999999997</v>
      </c>
      <c r="G98" s="5">
        <v>0</v>
      </c>
      <c r="H98">
        <v>-1</v>
      </c>
      <c r="I98">
        <v>1.2</v>
      </c>
      <c r="J98">
        <v>0.4</v>
      </c>
      <c r="M98">
        <v>2</v>
      </c>
      <c r="N98">
        <v>1</v>
      </c>
      <c r="O98">
        <v>2</v>
      </c>
      <c r="P98">
        <v>0</v>
      </c>
    </row>
    <row r="99" spans="1:16" x14ac:dyDescent="0.25">
      <c r="A99" s="1">
        <v>44538</v>
      </c>
      <c r="B99" s="4">
        <v>21</v>
      </c>
      <c r="C99">
        <v>36</v>
      </c>
      <c r="D99" s="4">
        <f>1/200</f>
        <v>5.0000000000000001E-3</v>
      </c>
      <c r="E99" s="4">
        <f>5*1/200</f>
        <v>2.5000000000000001E-2</v>
      </c>
      <c r="F99" s="4">
        <f t="shared" si="12"/>
        <v>33.299999999999997</v>
      </c>
      <c r="G99" s="5">
        <v>0</v>
      </c>
      <c r="P99" t="s">
        <v>408</v>
      </c>
    </row>
    <row r="100" spans="1:16" x14ac:dyDescent="0.25">
      <c r="A100" s="1">
        <v>44538</v>
      </c>
      <c r="B100" s="4">
        <v>21</v>
      </c>
      <c r="C100">
        <v>37</v>
      </c>
      <c r="D100" s="4">
        <f>1*1/200</f>
        <v>5.0000000000000001E-3</v>
      </c>
      <c r="E100" s="4">
        <f>4*1/200</f>
        <v>0.02</v>
      </c>
      <c r="F100" s="4">
        <f t="shared" si="10"/>
        <v>40</v>
      </c>
      <c r="G100" s="5">
        <v>0</v>
      </c>
      <c r="P100">
        <v>0</v>
      </c>
    </row>
    <row r="101" spans="1:16" x14ac:dyDescent="0.25">
      <c r="A101" s="1">
        <v>44538</v>
      </c>
      <c r="B101" s="4">
        <v>21</v>
      </c>
      <c r="C101">
        <v>38</v>
      </c>
      <c r="D101" s="4">
        <f>1*1/200</f>
        <v>5.0000000000000001E-3</v>
      </c>
      <c r="E101" s="4">
        <f>4*1/200</f>
        <v>0.02</v>
      </c>
      <c r="F101" s="4">
        <f t="shared" si="10"/>
        <v>40</v>
      </c>
      <c r="G101" s="5">
        <v>0</v>
      </c>
      <c r="P101" t="s">
        <v>408</v>
      </c>
    </row>
    <row r="102" spans="1:16" x14ac:dyDescent="0.25">
      <c r="A102" s="1">
        <v>44547</v>
      </c>
      <c r="B102" s="4">
        <v>22</v>
      </c>
      <c r="C102">
        <v>7</v>
      </c>
      <c r="D102" s="4">
        <f>4*1/200</f>
        <v>0.02</v>
      </c>
      <c r="E102" s="4">
        <f>28*1/200</f>
        <v>0.14000000000000001</v>
      </c>
      <c r="F102" s="4">
        <f t="shared" si="10"/>
        <v>6.25</v>
      </c>
      <c r="G102" s="5">
        <v>0</v>
      </c>
      <c r="H102" s="5">
        <v>0</v>
      </c>
      <c r="I102" s="5">
        <v>1.2</v>
      </c>
      <c r="J102" s="5">
        <v>0.4</v>
      </c>
      <c r="M102">
        <v>2</v>
      </c>
      <c r="N102">
        <v>1</v>
      </c>
      <c r="O102">
        <v>2</v>
      </c>
      <c r="P102" t="s">
        <v>148</v>
      </c>
    </row>
    <row r="103" spans="1:16" x14ac:dyDescent="0.25">
      <c r="A103" s="1">
        <v>44547</v>
      </c>
      <c r="B103" s="4">
        <v>22</v>
      </c>
      <c r="C103">
        <v>8</v>
      </c>
      <c r="D103" s="4">
        <f>4*1/200</f>
        <v>0.02</v>
      </c>
      <c r="E103" s="4">
        <f>28*1/200</f>
        <v>0.14000000000000001</v>
      </c>
      <c r="F103" s="4">
        <f t="shared" si="10"/>
        <v>6.25</v>
      </c>
      <c r="G103" s="5">
        <v>0</v>
      </c>
      <c r="P103" s="4" t="s">
        <v>419</v>
      </c>
    </row>
    <row r="104" spans="1:16" x14ac:dyDescent="0.25">
      <c r="A104" s="1">
        <v>44547</v>
      </c>
      <c r="B104" s="4">
        <v>22</v>
      </c>
      <c r="C104">
        <v>9</v>
      </c>
      <c r="D104" s="4">
        <f>2*1/200</f>
        <v>0.01</v>
      </c>
      <c r="E104" s="4">
        <f>14*1/200</f>
        <v>7.0000000000000007E-2</v>
      </c>
      <c r="F104" s="4">
        <f t="shared" si="10"/>
        <v>12.5</v>
      </c>
      <c r="G104" s="5">
        <v>0</v>
      </c>
      <c r="H104" s="5">
        <v>0</v>
      </c>
      <c r="I104" s="5">
        <v>1.1000000000000001</v>
      </c>
      <c r="J104" s="5">
        <v>0.4</v>
      </c>
      <c r="M104">
        <v>2</v>
      </c>
      <c r="N104">
        <v>1</v>
      </c>
      <c r="O104">
        <v>2</v>
      </c>
      <c r="P104" s="4" t="s">
        <v>291</v>
      </c>
    </row>
    <row r="105" spans="1:16" x14ac:dyDescent="0.25">
      <c r="A105" s="1">
        <v>44547</v>
      </c>
      <c r="B105" s="4">
        <v>22</v>
      </c>
      <c r="C105">
        <v>10</v>
      </c>
      <c r="D105" s="4">
        <f>2*1/200</f>
        <v>0.01</v>
      </c>
      <c r="E105" s="4">
        <f>14*1/200</f>
        <v>7.0000000000000007E-2</v>
      </c>
      <c r="F105" s="4">
        <f t="shared" si="10"/>
        <v>12.5</v>
      </c>
      <c r="G105" s="5">
        <v>0</v>
      </c>
      <c r="P105" s="4" t="s">
        <v>419</v>
      </c>
    </row>
    <row r="106" spans="1:16" x14ac:dyDescent="0.25">
      <c r="A106" s="1">
        <v>44547</v>
      </c>
      <c r="B106" s="4">
        <v>22</v>
      </c>
      <c r="C106">
        <v>11</v>
      </c>
      <c r="D106" s="4">
        <f>1/200</f>
        <v>5.0000000000000001E-3</v>
      </c>
      <c r="E106" s="4">
        <f>7*1/200</f>
        <v>3.5000000000000003E-2</v>
      </c>
      <c r="F106" s="4">
        <f t="shared" si="10"/>
        <v>25</v>
      </c>
      <c r="G106" s="5">
        <v>0</v>
      </c>
      <c r="H106" s="5">
        <v>-1</v>
      </c>
      <c r="I106" s="5">
        <v>1.2</v>
      </c>
      <c r="J106" s="5">
        <v>0.4</v>
      </c>
      <c r="M106">
        <v>2</v>
      </c>
      <c r="N106">
        <v>1</v>
      </c>
      <c r="P106" s="4" t="s">
        <v>17</v>
      </c>
    </row>
    <row r="107" spans="1:16" x14ac:dyDescent="0.25">
      <c r="A107" s="1">
        <v>44547</v>
      </c>
      <c r="B107" s="4">
        <v>22</v>
      </c>
      <c r="C107">
        <v>12</v>
      </c>
      <c r="D107" s="4">
        <f>1/200</f>
        <v>5.0000000000000001E-3</v>
      </c>
      <c r="E107" s="4">
        <f>7*1/200</f>
        <v>3.5000000000000003E-2</v>
      </c>
      <c r="F107" s="4">
        <f t="shared" si="10"/>
        <v>25</v>
      </c>
      <c r="G107" s="5">
        <v>0</v>
      </c>
      <c r="P107" s="4" t="s">
        <v>419</v>
      </c>
    </row>
    <row r="108" spans="1:16" x14ac:dyDescent="0.25">
      <c r="A108" s="1">
        <v>44547</v>
      </c>
      <c r="B108" s="4">
        <v>22</v>
      </c>
      <c r="C108">
        <v>13</v>
      </c>
      <c r="D108" s="4">
        <f>1/200</f>
        <v>5.0000000000000001E-3</v>
      </c>
      <c r="E108" s="4">
        <f>5*1/200</f>
        <v>2.5000000000000001E-2</v>
      </c>
      <c r="F108" s="4">
        <f t="shared" ref="F108:F109" si="13">33.3</f>
        <v>33.299999999999997</v>
      </c>
      <c r="G108" s="5">
        <v>0</v>
      </c>
      <c r="H108">
        <v>-2</v>
      </c>
      <c r="I108">
        <v>1.4</v>
      </c>
      <c r="J108">
        <v>0.4</v>
      </c>
      <c r="M108">
        <v>2</v>
      </c>
      <c r="N108">
        <v>1</v>
      </c>
      <c r="O108">
        <v>2</v>
      </c>
      <c r="P108" s="4" t="s">
        <v>17</v>
      </c>
    </row>
    <row r="109" spans="1:16" x14ac:dyDescent="0.25">
      <c r="A109" s="1">
        <v>44547</v>
      </c>
      <c r="B109" s="4">
        <v>22</v>
      </c>
      <c r="C109">
        <v>14</v>
      </c>
      <c r="D109" s="4">
        <f>1/200</f>
        <v>5.0000000000000001E-3</v>
      </c>
      <c r="E109" s="4">
        <f>5*1/200</f>
        <v>2.5000000000000001E-2</v>
      </c>
      <c r="F109" s="4">
        <f t="shared" si="13"/>
        <v>33.299999999999997</v>
      </c>
      <c r="G109" s="5">
        <v>0</v>
      </c>
      <c r="P109" s="4" t="s">
        <v>419</v>
      </c>
    </row>
    <row r="110" spans="1:16" x14ac:dyDescent="0.25">
      <c r="A110" s="1">
        <v>44547</v>
      </c>
      <c r="B110" s="4">
        <v>22</v>
      </c>
      <c r="C110">
        <v>15</v>
      </c>
      <c r="D110" s="4">
        <f>1*1/200</f>
        <v>5.0000000000000001E-3</v>
      </c>
      <c r="E110" s="4">
        <f>4*1/200</f>
        <v>0.02</v>
      </c>
      <c r="F110" s="4">
        <f t="shared" si="10"/>
        <v>40</v>
      </c>
      <c r="G110" s="5">
        <v>0</v>
      </c>
      <c r="P110" s="4" t="s">
        <v>17</v>
      </c>
    </row>
    <row r="111" spans="1:16" x14ac:dyDescent="0.25">
      <c r="A111" s="1">
        <v>44547</v>
      </c>
      <c r="B111" s="4">
        <v>22</v>
      </c>
      <c r="C111">
        <v>16</v>
      </c>
      <c r="D111" s="4">
        <f>1*1/200</f>
        <v>5.0000000000000001E-3</v>
      </c>
      <c r="E111" s="4">
        <f>4*1/200</f>
        <v>0.02</v>
      </c>
      <c r="F111" s="4">
        <f t="shared" si="10"/>
        <v>40</v>
      </c>
      <c r="G111" s="5">
        <v>0</v>
      </c>
      <c r="P111" s="4" t="s">
        <v>420</v>
      </c>
    </row>
    <row r="112" spans="1:16" x14ac:dyDescent="0.25">
      <c r="A112" s="1">
        <v>44547</v>
      </c>
      <c r="B112" s="4">
        <v>22</v>
      </c>
      <c r="C112">
        <v>17</v>
      </c>
      <c r="D112" s="4">
        <f>20*1/200</f>
        <v>0.1</v>
      </c>
      <c r="E112" s="4">
        <f>140*1/200</f>
        <v>0.7</v>
      </c>
      <c r="F112" s="4">
        <f t="shared" si="10"/>
        <v>1.25</v>
      </c>
      <c r="G112" s="5">
        <v>0</v>
      </c>
      <c r="H112" s="5">
        <v>0</v>
      </c>
      <c r="I112" s="5">
        <v>0.4</v>
      </c>
      <c r="J112" s="5">
        <v>0.4</v>
      </c>
      <c r="M112">
        <v>2</v>
      </c>
      <c r="N112">
        <v>1</v>
      </c>
      <c r="P112" s="4" t="s">
        <v>290</v>
      </c>
    </row>
    <row r="113" spans="1:16" x14ac:dyDescent="0.25">
      <c r="A113" s="1">
        <v>44547</v>
      </c>
      <c r="B113" s="4">
        <v>22</v>
      </c>
      <c r="C113">
        <v>18</v>
      </c>
      <c r="D113" s="4">
        <f>20*1/200</f>
        <v>0.1</v>
      </c>
      <c r="E113" s="4">
        <f>140*1/200</f>
        <v>0.7</v>
      </c>
      <c r="F113" s="4">
        <f t="shared" si="10"/>
        <v>1.25</v>
      </c>
      <c r="G113" s="5">
        <v>0</v>
      </c>
      <c r="P113" s="4" t="s">
        <v>421</v>
      </c>
    </row>
    <row r="114" spans="1:16" x14ac:dyDescent="0.25">
      <c r="A114" s="1">
        <v>44552</v>
      </c>
      <c r="B114">
        <v>23</v>
      </c>
      <c r="C114">
        <v>5</v>
      </c>
      <c r="D114" s="4">
        <f>20*1/200</f>
        <v>0.1</v>
      </c>
      <c r="E114" s="4">
        <f>140*1/200</f>
        <v>0.7</v>
      </c>
      <c r="F114" s="4">
        <f t="shared" ref="F114:F121" si="14">1/(D114+E114)</f>
        <v>1.25</v>
      </c>
      <c r="G114" s="5">
        <v>0</v>
      </c>
      <c r="H114" s="5">
        <v>0</v>
      </c>
      <c r="I114" s="5">
        <v>0.4</v>
      </c>
      <c r="J114" s="5">
        <v>0.4</v>
      </c>
      <c r="M114">
        <v>2</v>
      </c>
      <c r="N114">
        <v>1</v>
      </c>
      <c r="O114">
        <v>4</v>
      </c>
      <c r="P114" t="s">
        <v>361</v>
      </c>
    </row>
    <row r="115" spans="1:16" x14ac:dyDescent="0.25">
      <c r="A115" s="1">
        <v>44552</v>
      </c>
      <c r="B115" s="4">
        <v>23</v>
      </c>
      <c r="C115">
        <v>6</v>
      </c>
      <c r="D115" s="4">
        <f>20*1/200</f>
        <v>0.1</v>
      </c>
      <c r="E115" s="4">
        <f>140*1/200</f>
        <v>0.7</v>
      </c>
      <c r="F115" s="4">
        <f t="shared" si="14"/>
        <v>1.25</v>
      </c>
      <c r="G115" s="5">
        <v>0</v>
      </c>
      <c r="P115" t="s">
        <v>408</v>
      </c>
    </row>
    <row r="116" spans="1:16" x14ac:dyDescent="0.25">
      <c r="A116" s="1">
        <v>44552</v>
      </c>
      <c r="B116" s="4">
        <v>23</v>
      </c>
      <c r="C116">
        <v>7</v>
      </c>
      <c r="D116" s="4">
        <f>4*1/200</f>
        <v>0.02</v>
      </c>
      <c r="E116" s="4">
        <f>28*1/200</f>
        <v>0.14000000000000001</v>
      </c>
      <c r="F116" s="4">
        <f t="shared" si="14"/>
        <v>6.25</v>
      </c>
      <c r="G116" s="5">
        <v>0</v>
      </c>
      <c r="H116" s="5">
        <v>0</v>
      </c>
      <c r="I116" s="5">
        <v>1.2</v>
      </c>
      <c r="J116" s="5">
        <v>0.4</v>
      </c>
      <c r="M116">
        <v>2</v>
      </c>
      <c r="N116">
        <v>1</v>
      </c>
      <c r="O116">
        <v>3</v>
      </c>
      <c r="P116" t="s">
        <v>147</v>
      </c>
    </row>
    <row r="117" spans="1:16" x14ac:dyDescent="0.25">
      <c r="A117" s="1">
        <v>44552</v>
      </c>
      <c r="B117" s="4">
        <v>23</v>
      </c>
      <c r="C117">
        <v>8</v>
      </c>
      <c r="D117" s="4">
        <f>4*1/200</f>
        <v>0.02</v>
      </c>
      <c r="E117" s="4">
        <f>28*1/200</f>
        <v>0.14000000000000001</v>
      </c>
      <c r="F117" s="4">
        <f t="shared" si="14"/>
        <v>6.25</v>
      </c>
      <c r="G117" s="5">
        <v>0</v>
      </c>
      <c r="P117" t="s">
        <v>408</v>
      </c>
    </row>
    <row r="118" spans="1:16" x14ac:dyDescent="0.25">
      <c r="A118" s="1">
        <v>44552</v>
      </c>
      <c r="B118" s="4">
        <v>23</v>
      </c>
      <c r="C118">
        <v>9</v>
      </c>
      <c r="D118" s="4">
        <f>2*1/200</f>
        <v>0.01</v>
      </c>
      <c r="E118" s="4">
        <f>14*1/200</f>
        <v>7.0000000000000007E-2</v>
      </c>
      <c r="F118" s="4">
        <f t="shared" si="14"/>
        <v>12.5</v>
      </c>
      <c r="G118" s="5">
        <v>0</v>
      </c>
      <c r="H118" s="5">
        <v>0</v>
      </c>
      <c r="I118" s="5">
        <v>1.1000000000000001</v>
      </c>
      <c r="J118" s="5">
        <v>0.4</v>
      </c>
      <c r="M118">
        <v>2</v>
      </c>
      <c r="N118">
        <v>1</v>
      </c>
      <c r="O118">
        <v>2</v>
      </c>
      <c r="P118" t="s">
        <v>292</v>
      </c>
    </row>
    <row r="119" spans="1:16" x14ac:dyDescent="0.25">
      <c r="A119" s="1">
        <v>44552</v>
      </c>
      <c r="B119" s="4">
        <v>23</v>
      </c>
      <c r="C119">
        <v>10</v>
      </c>
      <c r="D119" s="4">
        <f>2*1/200</f>
        <v>0.01</v>
      </c>
      <c r="E119" s="4">
        <f>14*1/200</f>
        <v>7.0000000000000007E-2</v>
      </c>
      <c r="F119" s="4">
        <f t="shared" si="14"/>
        <v>12.5</v>
      </c>
      <c r="G119" s="5">
        <v>0</v>
      </c>
      <c r="P119" t="s">
        <v>408</v>
      </c>
    </row>
    <row r="120" spans="1:16" x14ac:dyDescent="0.25">
      <c r="A120" s="1">
        <v>44552</v>
      </c>
      <c r="B120" s="4">
        <v>23</v>
      </c>
      <c r="C120">
        <v>11</v>
      </c>
      <c r="D120" s="4">
        <f>1/200</f>
        <v>5.0000000000000001E-3</v>
      </c>
      <c r="E120" s="4">
        <f>7*1/200</f>
        <v>3.5000000000000003E-2</v>
      </c>
      <c r="F120" s="4">
        <f t="shared" si="14"/>
        <v>25</v>
      </c>
      <c r="G120" s="5">
        <v>0</v>
      </c>
      <c r="H120" s="5">
        <v>-1</v>
      </c>
      <c r="I120" s="5">
        <v>1.2</v>
      </c>
      <c r="J120" s="5">
        <v>0.4</v>
      </c>
      <c r="M120">
        <v>2</v>
      </c>
      <c r="N120">
        <v>1</v>
      </c>
      <c r="O120">
        <v>2</v>
      </c>
      <c r="P120">
        <v>0</v>
      </c>
    </row>
    <row r="121" spans="1:16" x14ac:dyDescent="0.25">
      <c r="A121" s="1">
        <v>44552</v>
      </c>
      <c r="B121" s="4">
        <v>23</v>
      </c>
      <c r="C121">
        <v>12</v>
      </c>
      <c r="D121" s="4">
        <f>1/200</f>
        <v>5.0000000000000001E-3</v>
      </c>
      <c r="E121" s="4">
        <f>7*1/200</f>
        <v>3.5000000000000003E-2</v>
      </c>
      <c r="F121" s="4">
        <f t="shared" si="14"/>
        <v>25</v>
      </c>
      <c r="G121" s="5">
        <v>0</v>
      </c>
      <c r="P121" t="s">
        <v>408</v>
      </c>
    </row>
    <row r="122" spans="1:16" x14ac:dyDescent="0.25">
      <c r="A122" s="1">
        <v>44552</v>
      </c>
      <c r="B122" s="4">
        <v>23</v>
      </c>
      <c r="C122">
        <v>13</v>
      </c>
      <c r="D122" s="4">
        <f>1/200</f>
        <v>5.0000000000000001E-3</v>
      </c>
      <c r="E122" s="4">
        <f>5*1/200</f>
        <v>2.5000000000000001E-2</v>
      </c>
      <c r="F122" s="4">
        <f t="shared" ref="F122:F123" si="15">33.3</f>
        <v>33.299999999999997</v>
      </c>
      <c r="G122" s="5">
        <v>0</v>
      </c>
      <c r="H122">
        <v>-1</v>
      </c>
      <c r="I122">
        <v>1.2</v>
      </c>
      <c r="J122">
        <v>0.4</v>
      </c>
      <c r="M122">
        <v>2</v>
      </c>
      <c r="N122">
        <v>1</v>
      </c>
      <c r="O122">
        <v>2</v>
      </c>
      <c r="P122">
        <v>0</v>
      </c>
    </row>
    <row r="123" spans="1:16" x14ac:dyDescent="0.25">
      <c r="A123" s="1">
        <v>44552</v>
      </c>
      <c r="B123" s="4">
        <v>23</v>
      </c>
      <c r="C123">
        <v>14</v>
      </c>
      <c r="D123" s="4">
        <f>1/200</f>
        <v>5.0000000000000001E-3</v>
      </c>
      <c r="E123" s="4">
        <f>5*1/200</f>
        <v>2.5000000000000001E-2</v>
      </c>
      <c r="F123" s="4">
        <f t="shared" si="15"/>
        <v>33.299999999999997</v>
      </c>
      <c r="G123" s="5">
        <v>0</v>
      </c>
      <c r="P123" t="s">
        <v>408</v>
      </c>
    </row>
    <row r="124" spans="1:16" x14ac:dyDescent="0.25">
      <c r="A124" s="1">
        <v>44552</v>
      </c>
      <c r="B124">
        <v>23</v>
      </c>
      <c r="C124">
        <v>15</v>
      </c>
      <c r="D124" s="4">
        <f>1*1/200</f>
        <v>5.0000000000000001E-3</v>
      </c>
      <c r="E124" s="4">
        <f>4*1/200</f>
        <v>0.02</v>
      </c>
      <c r="F124" s="4">
        <f t="shared" ref="F124:F125" si="16">1/(D124+E124)</f>
        <v>40</v>
      </c>
      <c r="G124" s="5">
        <v>0</v>
      </c>
      <c r="P124">
        <v>0</v>
      </c>
    </row>
    <row r="125" spans="1:16" x14ac:dyDescent="0.25">
      <c r="A125" s="1">
        <v>44552</v>
      </c>
      <c r="B125">
        <v>23</v>
      </c>
      <c r="C125">
        <v>16</v>
      </c>
      <c r="D125" s="4">
        <f>1*1/200</f>
        <v>5.0000000000000001E-3</v>
      </c>
      <c r="E125" s="4">
        <f>4*1/200</f>
        <v>0.02</v>
      </c>
      <c r="F125" s="4">
        <f t="shared" si="16"/>
        <v>40</v>
      </c>
      <c r="G125" s="5">
        <v>0</v>
      </c>
      <c r="P125" t="s">
        <v>408</v>
      </c>
    </row>
    <row r="126" spans="1:16" x14ac:dyDescent="0.25">
      <c r="A126" s="1">
        <v>44575</v>
      </c>
      <c r="B126">
        <v>24</v>
      </c>
      <c r="C126">
        <v>3</v>
      </c>
      <c r="D126">
        <v>5.0000000000000001E-3</v>
      </c>
      <c r="E126">
        <v>3.5000000000000003E-2</v>
      </c>
      <c r="F126">
        <v>25</v>
      </c>
      <c r="G126" s="5">
        <v>0</v>
      </c>
      <c r="H126" s="5">
        <v>-1</v>
      </c>
      <c r="I126" s="5">
        <v>1.2</v>
      </c>
      <c r="J126" s="5">
        <v>0.4</v>
      </c>
      <c r="M126">
        <v>2</v>
      </c>
      <c r="N126">
        <v>1</v>
      </c>
      <c r="P126" t="s">
        <v>23</v>
      </c>
    </row>
    <row r="127" spans="1:16" x14ac:dyDescent="0.25">
      <c r="A127" s="1">
        <v>44575</v>
      </c>
      <c r="B127">
        <v>24</v>
      </c>
      <c r="C127">
        <v>4</v>
      </c>
      <c r="D127">
        <v>5.0000000000000001E-3</v>
      </c>
      <c r="E127">
        <v>3.5000000000000003E-2</v>
      </c>
      <c r="F127">
        <v>25</v>
      </c>
      <c r="G127" s="5">
        <v>0</v>
      </c>
      <c r="P127" t="s">
        <v>422</v>
      </c>
    </row>
    <row r="128" spans="1:16" x14ac:dyDescent="0.25">
      <c r="A128" s="1">
        <v>44575</v>
      </c>
      <c r="B128" s="4">
        <v>24</v>
      </c>
      <c r="C128" s="4">
        <v>5</v>
      </c>
      <c r="D128" s="4">
        <f>2*1/200</f>
        <v>0.01</v>
      </c>
      <c r="E128" s="4">
        <f>14*1/200</f>
        <v>7.0000000000000007E-2</v>
      </c>
      <c r="F128" s="4">
        <v>12.5</v>
      </c>
      <c r="G128" s="5">
        <v>0</v>
      </c>
      <c r="H128" s="5">
        <v>0</v>
      </c>
      <c r="I128" s="5">
        <v>1.1000000000000001</v>
      </c>
      <c r="J128" s="5">
        <v>0.4</v>
      </c>
      <c r="M128">
        <v>2</v>
      </c>
      <c r="N128">
        <v>1</v>
      </c>
      <c r="P128" t="s">
        <v>293</v>
      </c>
    </row>
    <row r="129" spans="1:16" x14ac:dyDescent="0.25">
      <c r="A129" s="1">
        <v>44575</v>
      </c>
      <c r="B129" s="4">
        <v>24</v>
      </c>
      <c r="C129" s="4">
        <v>6</v>
      </c>
      <c r="D129" s="4">
        <f>2*1/200</f>
        <v>0.01</v>
      </c>
      <c r="E129" s="4">
        <f>14*1/200</f>
        <v>7.0000000000000007E-2</v>
      </c>
      <c r="F129" s="4">
        <v>12.5</v>
      </c>
      <c r="G129" s="5">
        <v>0</v>
      </c>
      <c r="P129" t="s">
        <v>422</v>
      </c>
    </row>
    <row r="130" spans="1:16" x14ac:dyDescent="0.25">
      <c r="A130" s="1">
        <v>44575</v>
      </c>
      <c r="B130" s="4">
        <v>24</v>
      </c>
      <c r="C130" s="4">
        <v>7</v>
      </c>
      <c r="D130" s="4">
        <v>5.0000000000000001E-3</v>
      </c>
      <c r="E130" s="4">
        <v>3.5000000000000003E-2</v>
      </c>
      <c r="F130" s="4">
        <v>25</v>
      </c>
      <c r="G130" s="5">
        <v>0</v>
      </c>
      <c r="H130" s="5">
        <v>0</v>
      </c>
      <c r="I130" s="5">
        <v>1.1000000000000001</v>
      </c>
      <c r="J130" s="5">
        <v>0.4</v>
      </c>
      <c r="M130">
        <v>2</v>
      </c>
      <c r="N130">
        <v>1</v>
      </c>
      <c r="P130" t="s">
        <v>18</v>
      </c>
    </row>
    <row r="131" spans="1:16" x14ac:dyDescent="0.25">
      <c r="A131" s="1">
        <v>44575</v>
      </c>
      <c r="B131" s="4">
        <v>24</v>
      </c>
      <c r="C131" s="4">
        <v>8</v>
      </c>
      <c r="D131" s="4">
        <v>5.0000000000000001E-3</v>
      </c>
      <c r="E131" s="4">
        <v>3.5000000000000003E-2</v>
      </c>
      <c r="F131" s="4">
        <v>25</v>
      </c>
      <c r="G131" s="5">
        <v>0</v>
      </c>
      <c r="P131" t="s">
        <v>423</v>
      </c>
    </row>
    <row r="132" spans="1:16" x14ac:dyDescent="0.25">
      <c r="A132" s="1">
        <v>44575</v>
      </c>
      <c r="B132" s="4">
        <v>24</v>
      </c>
      <c r="C132" s="4">
        <v>9</v>
      </c>
      <c r="D132" s="4">
        <f>2*1/200</f>
        <v>0.01</v>
      </c>
      <c r="E132" s="4">
        <f>14*1/200</f>
        <v>7.0000000000000007E-2</v>
      </c>
      <c r="F132" s="4">
        <v>12.5</v>
      </c>
      <c r="G132" s="5">
        <v>0</v>
      </c>
      <c r="H132" s="5">
        <v>0</v>
      </c>
      <c r="I132" s="5">
        <v>1.1000000000000001</v>
      </c>
      <c r="J132" s="5">
        <v>0.4</v>
      </c>
      <c r="P132" s="4" t="s">
        <v>18</v>
      </c>
    </row>
    <row r="133" spans="1:16" x14ac:dyDescent="0.25">
      <c r="A133" s="1">
        <v>44575</v>
      </c>
      <c r="B133" s="4">
        <v>24</v>
      </c>
      <c r="C133" s="4">
        <v>10</v>
      </c>
      <c r="D133" s="4">
        <v>5.0000000000000001E-3</v>
      </c>
      <c r="E133" s="4">
        <v>3.5000000000000003E-2</v>
      </c>
      <c r="F133" s="4">
        <v>25</v>
      </c>
      <c r="G133" s="5">
        <v>0</v>
      </c>
      <c r="H133" s="5">
        <v>0</v>
      </c>
      <c r="I133" s="5">
        <v>1.1000000000000001</v>
      </c>
      <c r="J133" s="5">
        <v>0.4</v>
      </c>
      <c r="M133">
        <v>2</v>
      </c>
      <c r="N133">
        <v>1</v>
      </c>
      <c r="P133" s="4" t="s">
        <v>139</v>
      </c>
    </row>
    <row r="134" spans="1:16" x14ac:dyDescent="0.25">
      <c r="A134" s="1">
        <v>44575</v>
      </c>
      <c r="B134" s="4">
        <v>24</v>
      </c>
      <c r="C134" s="4">
        <v>11</v>
      </c>
      <c r="D134" s="4">
        <v>5.0000000000000001E-3</v>
      </c>
      <c r="E134" s="4">
        <v>3.5000000000000003E-2</v>
      </c>
      <c r="F134" s="4">
        <v>25</v>
      </c>
      <c r="G134" s="5">
        <v>0</v>
      </c>
      <c r="P134" t="s">
        <v>424</v>
      </c>
    </row>
    <row r="135" spans="1:16" x14ac:dyDescent="0.25">
      <c r="A135" s="1">
        <v>44575</v>
      </c>
      <c r="B135" s="4">
        <v>24</v>
      </c>
      <c r="C135" s="4">
        <v>12</v>
      </c>
      <c r="D135" s="4">
        <f>2*1/200</f>
        <v>0.01</v>
      </c>
      <c r="E135" s="4">
        <f>14*1/200</f>
        <v>7.0000000000000007E-2</v>
      </c>
      <c r="F135" s="4">
        <v>12.5</v>
      </c>
      <c r="G135" s="5">
        <v>0</v>
      </c>
      <c r="H135" s="5">
        <v>0</v>
      </c>
      <c r="I135" s="5">
        <v>1.1000000000000001</v>
      </c>
      <c r="J135" s="5">
        <v>0.1</v>
      </c>
      <c r="M135">
        <v>2</v>
      </c>
      <c r="N135">
        <v>1</v>
      </c>
      <c r="P135" t="s">
        <v>140</v>
      </c>
    </row>
    <row r="136" spans="1:16" x14ac:dyDescent="0.25">
      <c r="A136" s="1">
        <v>44575</v>
      </c>
      <c r="B136" s="4">
        <v>24</v>
      </c>
      <c r="C136" s="4">
        <v>13</v>
      </c>
      <c r="D136" s="4">
        <f>2*1/200</f>
        <v>0.01</v>
      </c>
      <c r="E136" s="4">
        <f>14*1/200</f>
        <v>7.0000000000000007E-2</v>
      </c>
      <c r="F136" s="4">
        <v>12.5</v>
      </c>
      <c r="G136" s="5">
        <v>0</v>
      </c>
      <c r="P136" t="s">
        <v>424</v>
      </c>
    </row>
    <row r="137" spans="1:16" x14ac:dyDescent="0.25">
      <c r="A137" s="1">
        <v>44575</v>
      </c>
      <c r="B137" s="4">
        <v>25</v>
      </c>
      <c r="C137" s="4">
        <v>29</v>
      </c>
      <c r="D137" s="4">
        <v>5.0000000000000001E-3</v>
      </c>
      <c r="E137" s="4">
        <v>3.5000000000000003E-2</v>
      </c>
      <c r="F137" s="4">
        <v>25</v>
      </c>
      <c r="G137" s="5">
        <v>0</v>
      </c>
      <c r="H137" s="5">
        <v>-1</v>
      </c>
      <c r="I137" s="5">
        <v>1.2</v>
      </c>
      <c r="J137" s="5">
        <v>0.1</v>
      </c>
      <c r="M137">
        <v>2</v>
      </c>
      <c r="N137">
        <v>1</v>
      </c>
      <c r="O137">
        <v>2</v>
      </c>
      <c r="P137" t="s">
        <v>22</v>
      </c>
    </row>
    <row r="138" spans="1:16" x14ac:dyDescent="0.25">
      <c r="A138" s="1">
        <v>44575</v>
      </c>
      <c r="B138" s="4">
        <v>25</v>
      </c>
      <c r="C138" s="4">
        <v>30</v>
      </c>
      <c r="D138" s="4">
        <v>5.0000000000000001E-3</v>
      </c>
      <c r="E138" s="4">
        <v>3.5000000000000003E-2</v>
      </c>
      <c r="F138" s="4">
        <v>25</v>
      </c>
      <c r="G138" s="5">
        <v>0</v>
      </c>
      <c r="P138" t="s">
        <v>422</v>
      </c>
    </row>
    <row r="139" spans="1:16" x14ac:dyDescent="0.25">
      <c r="A139" s="1">
        <v>44575</v>
      </c>
      <c r="B139" s="4">
        <v>25</v>
      </c>
      <c r="C139" s="4">
        <v>31</v>
      </c>
      <c r="D139" s="4">
        <f>2*1/200</f>
        <v>0.01</v>
      </c>
      <c r="E139" s="4">
        <f>14*1/200</f>
        <v>7.0000000000000007E-2</v>
      </c>
      <c r="F139" s="4">
        <v>12.5</v>
      </c>
      <c r="G139" s="5">
        <v>0</v>
      </c>
      <c r="H139" s="5">
        <v>0</v>
      </c>
      <c r="I139" s="5">
        <v>1.1000000000000001</v>
      </c>
      <c r="J139" s="5">
        <v>0.1</v>
      </c>
      <c r="M139">
        <v>2</v>
      </c>
      <c r="N139">
        <v>1</v>
      </c>
      <c r="O139">
        <v>2</v>
      </c>
      <c r="P139" t="s">
        <v>293</v>
      </c>
    </row>
    <row r="140" spans="1:16" x14ac:dyDescent="0.25">
      <c r="A140" s="1">
        <v>44575</v>
      </c>
      <c r="B140" s="4">
        <v>25</v>
      </c>
      <c r="C140" s="4">
        <v>32</v>
      </c>
      <c r="D140" s="4">
        <f>2*1/200</f>
        <v>0.01</v>
      </c>
      <c r="E140" s="4">
        <f>14*1/200</f>
        <v>7.0000000000000007E-2</v>
      </c>
      <c r="F140" s="4">
        <v>12.5</v>
      </c>
      <c r="G140" s="5">
        <v>0</v>
      </c>
      <c r="P140" t="s">
        <v>422</v>
      </c>
    </row>
    <row r="141" spans="1:16" x14ac:dyDescent="0.25">
      <c r="A141" s="1">
        <v>44575</v>
      </c>
      <c r="B141" s="4">
        <v>25</v>
      </c>
      <c r="C141" s="4">
        <v>34</v>
      </c>
      <c r="D141" s="4">
        <v>5.0000000000000001E-3</v>
      </c>
      <c r="E141" s="4">
        <v>3.5000000000000003E-2</v>
      </c>
      <c r="F141" s="4">
        <v>25</v>
      </c>
      <c r="G141" s="5">
        <v>0</v>
      </c>
      <c r="H141" s="5">
        <v>0</v>
      </c>
      <c r="I141" s="5">
        <v>1.1000000000000001</v>
      </c>
      <c r="J141" s="5">
        <v>0.1</v>
      </c>
      <c r="M141">
        <v>2</v>
      </c>
      <c r="N141">
        <v>1</v>
      </c>
      <c r="P141" t="s">
        <v>19</v>
      </c>
    </row>
    <row r="142" spans="1:16" x14ac:dyDescent="0.25">
      <c r="A142" s="1">
        <v>44575</v>
      </c>
      <c r="B142" s="4">
        <v>25</v>
      </c>
      <c r="C142" s="4">
        <v>35</v>
      </c>
      <c r="D142" s="4">
        <v>5.0000000000000001E-3</v>
      </c>
      <c r="E142" s="4">
        <v>3.5000000000000003E-2</v>
      </c>
      <c r="F142" s="4">
        <v>25</v>
      </c>
      <c r="G142" s="5">
        <v>0</v>
      </c>
      <c r="P142" t="s">
        <v>423</v>
      </c>
    </row>
    <row r="143" spans="1:16" x14ac:dyDescent="0.25">
      <c r="A143" s="1">
        <v>44575</v>
      </c>
      <c r="B143" s="4">
        <v>25</v>
      </c>
      <c r="C143" s="4">
        <v>36</v>
      </c>
      <c r="D143" s="4">
        <f>2*1/200</f>
        <v>0.01</v>
      </c>
      <c r="E143" s="4">
        <f>14*1/200</f>
        <v>7.0000000000000007E-2</v>
      </c>
      <c r="F143" s="4">
        <v>12.5</v>
      </c>
      <c r="G143" s="5">
        <v>0</v>
      </c>
      <c r="P143" t="s">
        <v>423</v>
      </c>
    </row>
    <row r="144" spans="1:16" x14ac:dyDescent="0.25">
      <c r="A144" s="1">
        <v>44575</v>
      </c>
      <c r="B144" s="4">
        <v>25</v>
      </c>
      <c r="C144" s="4">
        <v>37</v>
      </c>
      <c r="D144" s="4">
        <f>2*1/200</f>
        <v>0.01</v>
      </c>
      <c r="E144" s="4">
        <f>14*1/200</f>
        <v>7.0000000000000007E-2</v>
      </c>
      <c r="F144" s="4">
        <v>12.5</v>
      </c>
      <c r="G144" s="5">
        <v>0</v>
      </c>
      <c r="H144" s="5">
        <v>-1.5</v>
      </c>
      <c r="I144" s="5">
        <v>1.3</v>
      </c>
      <c r="J144" s="5">
        <v>0.4</v>
      </c>
      <c r="P144" t="s">
        <v>18</v>
      </c>
    </row>
    <row r="145" spans="1:16" x14ac:dyDescent="0.25">
      <c r="A145" s="1">
        <v>44575</v>
      </c>
      <c r="B145" s="4">
        <v>25</v>
      </c>
      <c r="C145" s="4">
        <v>38</v>
      </c>
      <c r="D145" s="4">
        <v>5.0000000000000001E-3</v>
      </c>
      <c r="E145" s="4">
        <v>3.5000000000000003E-2</v>
      </c>
      <c r="F145" s="4">
        <v>25</v>
      </c>
      <c r="G145" s="5">
        <v>0</v>
      </c>
      <c r="H145" s="5">
        <v>0</v>
      </c>
      <c r="I145" s="5">
        <v>1.1000000000000001</v>
      </c>
      <c r="J145" s="5">
        <v>0.1</v>
      </c>
      <c r="M145">
        <v>2</v>
      </c>
      <c r="N145">
        <v>1</v>
      </c>
      <c r="P145" t="s">
        <v>139</v>
      </c>
    </row>
    <row r="146" spans="1:16" x14ac:dyDescent="0.25">
      <c r="A146" s="1">
        <v>44575</v>
      </c>
      <c r="B146" s="4">
        <v>25</v>
      </c>
      <c r="C146" s="4">
        <v>39</v>
      </c>
      <c r="D146" s="4">
        <v>5.0000000000000001E-3</v>
      </c>
      <c r="E146" s="4">
        <v>3.5000000000000003E-2</v>
      </c>
      <c r="F146" s="4">
        <v>25</v>
      </c>
      <c r="G146" s="5">
        <v>0</v>
      </c>
      <c r="P146" t="s">
        <v>424</v>
      </c>
    </row>
    <row r="147" spans="1:16" x14ac:dyDescent="0.25">
      <c r="A147" s="1">
        <v>44575</v>
      </c>
      <c r="B147" s="4">
        <v>25</v>
      </c>
      <c r="C147" s="4">
        <v>40</v>
      </c>
      <c r="D147" s="4">
        <f>2*1/200</f>
        <v>0.01</v>
      </c>
      <c r="E147" s="4">
        <f>14*1/200</f>
        <v>7.0000000000000007E-2</v>
      </c>
      <c r="F147" s="4">
        <v>12.5</v>
      </c>
      <c r="G147" s="5">
        <v>0</v>
      </c>
      <c r="H147" s="5">
        <v>0</v>
      </c>
      <c r="I147" s="5">
        <v>1.1000000000000001</v>
      </c>
      <c r="J147" s="5">
        <v>0.1</v>
      </c>
      <c r="M147">
        <v>2</v>
      </c>
      <c r="N147">
        <v>1</v>
      </c>
      <c r="P147" t="s">
        <v>139</v>
      </c>
    </row>
    <row r="148" spans="1:16" x14ac:dyDescent="0.25">
      <c r="A148" s="1">
        <v>44575</v>
      </c>
      <c r="B148" s="4">
        <v>25</v>
      </c>
      <c r="C148" s="4">
        <v>41</v>
      </c>
      <c r="D148" s="4">
        <f>2*1/200</f>
        <v>0.01</v>
      </c>
      <c r="E148" s="4">
        <f>14*1/200</f>
        <v>7.0000000000000007E-2</v>
      </c>
      <c r="F148" s="4">
        <v>12.5</v>
      </c>
      <c r="G148" s="5">
        <v>0</v>
      </c>
      <c r="P148" t="s">
        <v>424</v>
      </c>
    </row>
    <row r="149" spans="1:16" x14ac:dyDescent="0.25">
      <c r="A149" s="1">
        <v>44580</v>
      </c>
      <c r="B149">
        <v>26</v>
      </c>
      <c r="C149">
        <v>5</v>
      </c>
      <c r="D149">
        <v>5.0000000000000001E-3</v>
      </c>
      <c r="E149">
        <v>3.5000000000000003E-2</v>
      </c>
      <c r="F149">
        <v>25</v>
      </c>
      <c r="G149" s="5">
        <v>1</v>
      </c>
      <c r="H149" s="5">
        <v>-1</v>
      </c>
      <c r="I149" s="5">
        <v>1.2</v>
      </c>
      <c r="J149" s="5">
        <v>0.1</v>
      </c>
      <c r="M149">
        <v>2</v>
      </c>
      <c r="N149">
        <v>1</v>
      </c>
      <c r="O149">
        <v>0.05</v>
      </c>
      <c r="P149" t="s">
        <v>425</v>
      </c>
    </row>
    <row r="150" spans="1:16" x14ac:dyDescent="0.25">
      <c r="A150" s="1">
        <v>44580</v>
      </c>
      <c r="B150" s="4">
        <v>26</v>
      </c>
      <c r="C150" s="4">
        <v>6</v>
      </c>
      <c r="D150" s="4">
        <v>5.0000000000000001E-3</v>
      </c>
      <c r="E150" s="4">
        <v>3.5000000000000003E-2</v>
      </c>
      <c r="F150" s="4">
        <v>25</v>
      </c>
      <c r="G150" s="5">
        <v>1</v>
      </c>
      <c r="P150" t="s">
        <v>422</v>
      </c>
    </row>
    <row r="151" spans="1:16" x14ac:dyDescent="0.25">
      <c r="A151" s="1">
        <v>44580</v>
      </c>
      <c r="B151" s="4">
        <v>26</v>
      </c>
      <c r="C151" s="4">
        <v>7</v>
      </c>
      <c r="D151" s="4">
        <f>2*1/200</f>
        <v>0.01</v>
      </c>
      <c r="E151" s="4">
        <f>14*1/200</f>
        <v>7.0000000000000007E-2</v>
      </c>
      <c r="F151" s="4">
        <v>12.5</v>
      </c>
      <c r="G151" s="5">
        <v>0</v>
      </c>
      <c r="H151" s="5">
        <v>0</v>
      </c>
      <c r="I151" s="5">
        <v>1.1000000000000001</v>
      </c>
      <c r="J151" s="5">
        <v>0.1</v>
      </c>
      <c r="M151">
        <v>2</v>
      </c>
      <c r="N151">
        <v>1</v>
      </c>
      <c r="O151">
        <v>3</v>
      </c>
      <c r="P151" t="s">
        <v>149</v>
      </c>
    </row>
    <row r="152" spans="1:16" x14ac:dyDescent="0.25">
      <c r="A152" s="1">
        <v>44580</v>
      </c>
      <c r="B152" s="4">
        <v>26</v>
      </c>
      <c r="C152" s="4">
        <v>8</v>
      </c>
      <c r="D152" s="4">
        <f>2*1/200</f>
        <v>0.01</v>
      </c>
      <c r="E152" s="4">
        <f>14*1/200</f>
        <v>7.0000000000000007E-2</v>
      </c>
      <c r="F152" s="4">
        <v>12.5</v>
      </c>
      <c r="G152" s="5">
        <v>0</v>
      </c>
      <c r="P152" t="s">
        <v>422</v>
      </c>
    </row>
    <row r="153" spans="1:16" x14ac:dyDescent="0.25">
      <c r="A153" s="1">
        <v>44580</v>
      </c>
      <c r="B153" s="4">
        <v>26</v>
      </c>
      <c r="C153" s="4">
        <v>11</v>
      </c>
      <c r="D153" s="4">
        <v>5.0000000000000001E-3</v>
      </c>
      <c r="E153" s="4">
        <v>3.5000000000000003E-2</v>
      </c>
      <c r="F153" s="4">
        <v>25</v>
      </c>
      <c r="G153" s="5">
        <v>0</v>
      </c>
      <c r="H153" s="5">
        <v>-1</v>
      </c>
      <c r="I153" s="5">
        <v>1.2</v>
      </c>
      <c r="J153" s="5">
        <v>0.4</v>
      </c>
      <c r="M153">
        <v>2</v>
      </c>
      <c r="N153">
        <v>1</v>
      </c>
      <c r="O153">
        <v>2</v>
      </c>
      <c r="P153" t="s">
        <v>21</v>
      </c>
    </row>
    <row r="154" spans="1:16" x14ac:dyDescent="0.25">
      <c r="A154" s="1">
        <v>44580</v>
      </c>
      <c r="B154" s="4">
        <v>26</v>
      </c>
      <c r="C154" s="4">
        <v>12</v>
      </c>
      <c r="D154" s="4">
        <v>5.0000000000000001E-3</v>
      </c>
      <c r="E154" s="4">
        <v>3.5000000000000003E-2</v>
      </c>
      <c r="F154" s="4">
        <v>25</v>
      </c>
      <c r="G154" s="5">
        <v>0</v>
      </c>
      <c r="P154" t="s">
        <v>426</v>
      </c>
    </row>
    <row r="155" spans="1:16" x14ac:dyDescent="0.25">
      <c r="A155" s="1">
        <v>44580</v>
      </c>
      <c r="B155" s="4">
        <v>26</v>
      </c>
      <c r="C155" s="4">
        <v>13</v>
      </c>
      <c r="D155" s="4">
        <v>5.0000000000000001E-3</v>
      </c>
      <c r="E155" s="4">
        <v>3.5000000000000003E-2</v>
      </c>
      <c r="F155" s="4">
        <v>25</v>
      </c>
      <c r="G155" s="5">
        <v>0</v>
      </c>
      <c r="H155" s="5">
        <v>0</v>
      </c>
      <c r="I155" s="5">
        <v>1.1000000000000001</v>
      </c>
      <c r="J155" s="5">
        <v>0.4</v>
      </c>
      <c r="M155">
        <v>2</v>
      </c>
      <c r="N155">
        <v>1</v>
      </c>
      <c r="P155" t="s">
        <v>18</v>
      </c>
    </row>
    <row r="156" spans="1:16" x14ac:dyDescent="0.25">
      <c r="A156" s="1">
        <v>44580</v>
      </c>
      <c r="B156" s="4">
        <v>26</v>
      </c>
      <c r="C156" s="4">
        <v>14</v>
      </c>
      <c r="D156" s="4">
        <f>2*1/200</f>
        <v>0.01</v>
      </c>
      <c r="E156" s="4">
        <f>14*1/200</f>
        <v>7.0000000000000007E-2</v>
      </c>
      <c r="F156" s="4">
        <v>12.5</v>
      </c>
      <c r="G156" s="5">
        <v>0</v>
      </c>
      <c r="H156" s="5">
        <v>-0.5</v>
      </c>
      <c r="I156" s="5">
        <v>1</v>
      </c>
      <c r="J156" s="5">
        <v>0.4</v>
      </c>
      <c r="P156" t="s">
        <v>18</v>
      </c>
    </row>
    <row r="157" spans="1:16" x14ac:dyDescent="0.25">
      <c r="A157" s="1">
        <v>44580</v>
      </c>
      <c r="B157" s="4">
        <v>26</v>
      </c>
      <c r="C157" s="4">
        <v>15</v>
      </c>
      <c r="D157" s="4">
        <f>2*1/200</f>
        <v>0.01</v>
      </c>
      <c r="E157" s="4">
        <f>14*1/200</f>
        <v>7.0000000000000007E-2</v>
      </c>
      <c r="F157" s="4">
        <v>12.5</v>
      </c>
      <c r="G157" s="5">
        <v>0</v>
      </c>
      <c r="P157" t="s">
        <v>423</v>
      </c>
    </row>
    <row r="158" spans="1:16" x14ac:dyDescent="0.25">
      <c r="A158" s="1">
        <v>44580</v>
      </c>
      <c r="B158" s="4">
        <v>26</v>
      </c>
      <c r="C158" s="4">
        <v>16</v>
      </c>
      <c r="D158" s="4">
        <v>5.0000000000000001E-3</v>
      </c>
      <c r="E158" s="4">
        <v>3.5000000000000003E-2</v>
      </c>
      <c r="F158" s="4">
        <v>25</v>
      </c>
      <c r="G158" s="5">
        <v>0</v>
      </c>
      <c r="P158" s="4" t="s">
        <v>423</v>
      </c>
    </row>
    <row r="159" spans="1:16" x14ac:dyDescent="0.25">
      <c r="A159" s="1">
        <v>44580</v>
      </c>
      <c r="B159" s="4">
        <v>26</v>
      </c>
      <c r="C159" s="4">
        <v>19</v>
      </c>
      <c r="D159" s="4">
        <v>5.0000000000000001E-3</v>
      </c>
      <c r="E159" s="4">
        <v>3.5000000000000003E-2</v>
      </c>
      <c r="F159" s="4">
        <v>25</v>
      </c>
      <c r="G159" s="5">
        <v>0</v>
      </c>
      <c r="H159" s="5">
        <v>-2</v>
      </c>
      <c r="I159" s="5">
        <v>1.3</v>
      </c>
      <c r="J159" s="5">
        <v>0.4</v>
      </c>
      <c r="M159">
        <v>2</v>
      </c>
      <c r="N159">
        <v>1</v>
      </c>
      <c r="P159" t="s">
        <v>139</v>
      </c>
    </row>
    <row r="160" spans="1:16" x14ac:dyDescent="0.25">
      <c r="A160" s="1">
        <v>44580</v>
      </c>
      <c r="B160" s="4">
        <v>26</v>
      </c>
      <c r="C160" s="4">
        <v>20</v>
      </c>
      <c r="D160" s="4">
        <v>5.0000000000000001E-3</v>
      </c>
      <c r="E160" s="4">
        <v>3.5000000000000003E-2</v>
      </c>
      <c r="F160" s="4">
        <v>25</v>
      </c>
      <c r="G160" s="5">
        <v>0</v>
      </c>
      <c r="P160" t="s">
        <v>424</v>
      </c>
    </row>
    <row r="161" spans="1:16" x14ac:dyDescent="0.25">
      <c r="A161" s="1">
        <v>44580</v>
      </c>
      <c r="B161" s="4">
        <v>26</v>
      </c>
      <c r="C161" s="4">
        <v>21</v>
      </c>
      <c r="D161" s="4">
        <f>2*1/200</f>
        <v>0.01</v>
      </c>
      <c r="E161" s="4">
        <f>14*1/200</f>
        <v>7.0000000000000007E-2</v>
      </c>
      <c r="F161" s="4">
        <v>12.5</v>
      </c>
      <c r="G161" s="5">
        <v>0</v>
      </c>
      <c r="P161" t="s">
        <v>424</v>
      </c>
    </row>
    <row r="162" spans="1:16" x14ac:dyDescent="0.25">
      <c r="A162" s="1">
        <v>44580</v>
      </c>
      <c r="B162" s="4">
        <v>26</v>
      </c>
      <c r="C162" s="4">
        <v>22</v>
      </c>
      <c r="D162" s="4">
        <f>2*1/200</f>
        <v>0.01</v>
      </c>
      <c r="E162" s="4">
        <f>14*1/200</f>
        <v>7.0000000000000007E-2</v>
      </c>
      <c r="F162" s="4">
        <v>12.5</v>
      </c>
      <c r="G162" s="5">
        <v>0</v>
      </c>
      <c r="H162" s="5">
        <v>0</v>
      </c>
      <c r="I162" s="5">
        <v>1.1000000000000001</v>
      </c>
      <c r="J162" s="5">
        <v>0.1</v>
      </c>
      <c r="M162">
        <v>2</v>
      </c>
      <c r="N162">
        <v>1</v>
      </c>
      <c r="P162" t="s">
        <v>139</v>
      </c>
    </row>
    <row r="163" spans="1:16" x14ac:dyDescent="0.25">
      <c r="A163" s="1">
        <v>44580</v>
      </c>
      <c r="B163" s="4">
        <v>26</v>
      </c>
      <c r="C163" s="4">
        <v>43</v>
      </c>
      <c r="D163" s="4">
        <v>5.0000000000000001E-3</v>
      </c>
      <c r="E163" s="4">
        <v>3.5000000000000003E-2</v>
      </c>
      <c r="F163" s="4">
        <v>25</v>
      </c>
      <c r="G163" s="5">
        <v>1</v>
      </c>
      <c r="H163" s="5">
        <v>0</v>
      </c>
      <c r="I163" s="5">
        <v>1</v>
      </c>
      <c r="J163" s="5">
        <v>0.4</v>
      </c>
      <c r="P163" t="s">
        <v>24</v>
      </c>
    </row>
    <row r="164" spans="1:16" x14ac:dyDescent="0.25">
      <c r="A164" s="1">
        <v>44580</v>
      </c>
      <c r="B164" s="4">
        <v>26</v>
      </c>
      <c r="C164" s="4">
        <v>46</v>
      </c>
      <c r="D164" s="4">
        <f>2*1/200</f>
        <v>0.01</v>
      </c>
      <c r="E164" s="4">
        <f>14*1/200</f>
        <v>7.0000000000000007E-2</v>
      </c>
      <c r="F164" s="4">
        <v>12.5</v>
      </c>
      <c r="G164" s="5">
        <v>0</v>
      </c>
      <c r="H164" s="5">
        <v>0</v>
      </c>
      <c r="I164" s="5">
        <v>1.1000000000000001</v>
      </c>
      <c r="J164" s="5">
        <v>0.1</v>
      </c>
      <c r="P164" s="4" t="s">
        <v>24</v>
      </c>
    </row>
    <row r="165" spans="1:16" x14ac:dyDescent="0.25">
      <c r="A165" s="1">
        <v>44580</v>
      </c>
      <c r="B165" s="4">
        <v>26</v>
      </c>
      <c r="C165" s="4">
        <v>47</v>
      </c>
      <c r="D165" s="4">
        <f>2*1/200</f>
        <v>0.01</v>
      </c>
      <c r="E165" s="4">
        <f>14*1/200</f>
        <v>7.0000000000000007E-2</v>
      </c>
      <c r="F165" s="4">
        <v>12.5</v>
      </c>
      <c r="G165" s="5">
        <v>0</v>
      </c>
      <c r="H165" s="5">
        <v>-1</v>
      </c>
      <c r="I165" s="5">
        <v>1.3</v>
      </c>
      <c r="J165" s="5">
        <v>0.4</v>
      </c>
      <c r="P165" s="4" t="s">
        <v>25</v>
      </c>
    </row>
    <row r="166" spans="1:16" x14ac:dyDescent="0.25">
      <c r="A166" s="1">
        <v>44580</v>
      </c>
      <c r="B166" s="4">
        <v>26</v>
      </c>
      <c r="C166" s="4">
        <v>48</v>
      </c>
      <c r="D166" s="4">
        <v>5.0000000000000001E-3</v>
      </c>
      <c r="E166" s="4">
        <v>3.5000000000000003E-2</v>
      </c>
      <c r="F166" s="4">
        <v>25</v>
      </c>
      <c r="G166" s="5">
        <v>0</v>
      </c>
      <c r="H166" s="5">
        <v>-1.5</v>
      </c>
      <c r="I166" s="5">
        <v>0.9</v>
      </c>
      <c r="J166" s="5">
        <v>0.4</v>
      </c>
      <c r="M166">
        <v>2</v>
      </c>
      <c r="N166">
        <v>1</v>
      </c>
      <c r="P166" s="4" t="s">
        <v>25</v>
      </c>
    </row>
    <row r="167" spans="1:16" x14ac:dyDescent="0.25">
      <c r="A167" s="1">
        <v>44580</v>
      </c>
      <c r="B167" s="4">
        <v>26</v>
      </c>
      <c r="C167" s="4">
        <v>53</v>
      </c>
      <c r="D167" s="4">
        <v>5.0000000000000001E-3</v>
      </c>
      <c r="E167" s="4">
        <v>3.5000000000000003E-2</v>
      </c>
      <c r="F167" s="4">
        <v>25</v>
      </c>
      <c r="G167" s="5">
        <v>1</v>
      </c>
      <c r="H167" s="5">
        <v>0</v>
      </c>
      <c r="I167" s="5">
        <v>1.1000000000000001</v>
      </c>
      <c r="J167" s="5">
        <v>0.4</v>
      </c>
      <c r="P167" s="4" t="s">
        <v>26</v>
      </c>
    </row>
    <row r="168" spans="1:16" x14ac:dyDescent="0.25">
      <c r="A168" s="1">
        <v>44580</v>
      </c>
      <c r="B168" s="4">
        <v>26</v>
      </c>
      <c r="C168" s="4">
        <v>54</v>
      </c>
      <c r="D168" s="4">
        <f>2*1/200</f>
        <v>0.01</v>
      </c>
      <c r="E168" s="4">
        <f>14*1/200</f>
        <v>7.0000000000000007E-2</v>
      </c>
      <c r="F168" s="4">
        <v>12.5</v>
      </c>
      <c r="G168" s="5">
        <v>1</v>
      </c>
      <c r="H168" s="5">
        <v>0</v>
      </c>
      <c r="I168" s="5">
        <v>1.1000000000000001</v>
      </c>
      <c r="J168" s="5">
        <v>0.1</v>
      </c>
      <c r="P168" s="4" t="s">
        <v>26</v>
      </c>
    </row>
    <row r="169" spans="1:16" x14ac:dyDescent="0.25">
      <c r="A169" s="1">
        <v>44580</v>
      </c>
      <c r="B169" s="4">
        <v>26</v>
      </c>
      <c r="C169" s="4">
        <v>55</v>
      </c>
      <c r="D169" s="4">
        <f>2*1/200</f>
        <v>0.01</v>
      </c>
      <c r="E169" s="4">
        <f>14*1/200</f>
        <v>7.0000000000000007E-2</v>
      </c>
      <c r="F169" s="4">
        <v>12.5</v>
      </c>
      <c r="G169" s="5">
        <v>1</v>
      </c>
      <c r="H169" s="5">
        <v>-1</v>
      </c>
      <c r="I169" s="5">
        <v>1.3</v>
      </c>
      <c r="J169" s="5">
        <v>0.4</v>
      </c>
      <c r="P169" s="4" t="s">
        <v>27</v>
      </c>
    </row>
    <row r="170" spans="1:16" x14ac:dyDescent="0.25">
      <c r="A170" s="1">
        <v>44580</v>
      </c>
      <c r="B170" s="4">
        <v>26</v>
      </c>
      <c r="C170" s="4">
        <v>56</v>
      </c>
      <c r="D170" s="4">
        <v>5.0000000000000001E-3</v>
      </c>
      <c r="E170" s="4">
        <v>3.5000000000000003E-2</v>
      </c>
      <c r="F170" s="4">
        <v>25</v>
      </c>
      <c r="G170" s="5">
        <v>0</v>
      </c>
      <c r="H170" s="5">
        <v>-1.5</v>
      </c>
      <c r="I170" s="5">
        <v>1.1000000000000001</v>
      </c>
      <c r="J170" s="5">
        <v>0.4</v>
      </c>
      <c r="M170">
        <v>2</v>
      </c>
      <c r="N170">
        <v>1</v>
      </c>
      <c r="P170" s="4" t="s">
        <v>27</v>
      </c>
    </row>
    <row r="171" spans="1:16" x14ac:dyDescent="0.25">
      <c r="A171" s="1">
        <v>44581</v>
      </c>
      <c r="B171" s="4">
        <v>27</v>
      </c>
      <c r="C171" s="4">
        <v>16</v>
      </c>
      <c r="D171" s="4">
        <f>2*1/200</f>
        <v>0.01</v>
      </c>
      <c r="E171" s="4">
        <f>14*1/200</f>
        <v>7.0000000000000007E-2</v>
      </c>
      <c r="F171" s="4">
        <v>12.5</v>
      </c>
      <c r="G171" s="5">
        <v>1</v>
      </c>
      <c r="H171" s="5">
        <v>0</v>
      </c>
      <c r="I171" s="5">
        <v>1.1000000000000001</v>
      </c>
      <c r="J171" s="5">
        <v>0.4</v>
      </c>
      <c r="P171" t="s">
        <v>427</v>
      </c>
    </row>
    <row r="172" spans="1:16" x14ac:dyDescent="0.25">
      <c r="A172" s="1">
        <v>44581</v>
      </c>
      <c r="B172" s="4">
        <v>27</v>
      </c>
      <c r="C172" s="4">
        <v>17</v>
      </c>
      <c r="D172" s="4">
        <f>2*1/200</f>
        <v>0.01</v>
      </c>
      <c r="E172" s="4">
        <f>14*1/200</f>
        <v>7.0000000000000007E-2</v>
      </c>
      <c r="F172" s="4">
        <v>12.5</v>
      </c>
      <c r="G172" s="5">
        <v>1</v>
      </c>
      <c r="P172" t="s">
        <v>422</v>
      </c>
    </row>
    <row r="173" spans="1:16" x14ac:dyDescent="0.25">
      <c r="A173" s="1">
        <v>44581</v>
      </c>
      <c r="B173" s="4">
        <v>27</v>
      </c>
      <c r="C173" s="4">
        <v>18</v>
      </c>
      <c r="D173" s="4">
        <v>5.0000000000000001E-3</v>
      </c>
      <c r="E173" s="4">
        <v>3.5000000000000003E-2</v>
      </c>
      <c r="F173" s="4">
        <v>25</v>
      </c>
      <c r="G173" s="5">
        <v>0</v>
      </c>
      <c r="H173" s="5">
        <v>-1</v>
      </c>
      <c r="I173" s="5">
        <v>1.2</v>
      </c>
      <c r="J173" s="5">
        <v>0.4</v>
      </c>
      <c r="M173">
        <v>2</v>
      </c>
      <c r="N173">
        <v>1</v>
      </c>
      <c r="P173" t="s">
        <v>20</v>
      </c>
    </row>
    <row r="174" spans="1:16" x14ac:dyDescent="0.25">
      <c r="A174" s="1">
        <v>44581</v>
      </c>
      <c r="B174" s="4">
        <v>27</v>
      </c>
      <c r="C174" s="4">
        <v>19</v>
      </c>
      <c r="D174" s="4">
        <v>5.0000000000000001E-3</v>
      </c>
      <c r="E174" s="4">
        <v>3.5000000000000003E-2</v>
      </c>
      <c r="F174" s="4">
        <v>25</v>
      </c>
      <c r="G174" s="5">
        <v>0</v>
      </c>
      <c r="P174" t="s">
        <v>422</v>
      </c>
    </row>
    <row r="175" spans="1:16" x14ac:dyDescent="0.25">
      <c r="A175" s="1">
        <v>44581</v>
      </c>
      <c r="B175" s="4">
        <v>27</v>
      </c>
      <c r="C175" s="4">
        <v>20</v>
      </c>
      <c r="D175" s="4">
        <v>5.0000000000000001E-3</v>
      </c>
      <c r="E175" s="4">
        <v>3.5000000000000003E-2</v>
      </c>
      <c r="F175" s="4">
        <v>25</v>
      </c>
      <c r="G175" s="5">
        <v>0</v>
      </c>
      <c r="H175" s="5">
        <v>-1</v>
      </c>
      <c r="I175" s="5">
        <v>1.3</v>
      </c>
      <c r="J175" s="5">
        <v>0.4</v>
      </c>
      <c r="M175">
        <v>2</v>
      </c>
      <c r="N175">
        <v>1</v>
      </c>
      <c r="P175" t="s">
        <v>18</v>
      </c>
    </row>
    <row r="176" spans="1:16" x14ac:dyDescent="0.25">
      <c r="A176" s="1">
        <v>44581</v>
      </c>
      <c r="B176" s="4">
        <v>27</v>
      </c>
      <c r="C176" s="4">
        <v>21</v>
      </c>
      <c r="D176" s="4">
        <v>5.0000000000000001E-3</v>
      </c>
      <c r="E176" s="4">
        <v>3.5000000000000003E-2</v>
      </c>
      <c r="F176" s="4">
        <v>25</v>
      </c>
      <c r="G176" s="5">
        <v>0</v>
      </c>
      <c r="P176" t="s">
        <v>423</v>
      </c>
    </row>
    <row r="177" spans="1:16" x14ac:dyDescent="0.25">
      <c r="A177" s="1">
        <v>44581</v>
      </c>
      <c r="B177" s="4">
        <v>27</v>
      </c>
      <c r="C177" s="4">
        <v>22</v>
      </c>
      <c r="D177" s="4">
        <v>5.0000000000000001E-3</v>
      </c>
      <c r="E177" s="4">
        <v>3.5000000000000003E-2</v>
      </c>
      <c r="F177" s="4">
        <v>25</v>
      </c>
      <c r="G177" s="5">
        <v>0</v>
      </c>
      <c r="H177" s="5">
        <v>-2</v>
      </c>
      <c r="I177" s="5">
        <v>1.3</v>
      </c>
      <c r="J177" s="5">
        <v>0.4</v>
      </c>
      <c r="M177">
        <v>2</v>
      </c>
      <c r="N177">
        <v>1</v>
      </c>
      <c r="P177" t="s">
        <v>28</v>
      </c>
    </row>
    <row r="178" spans="1:16" x14ac:dyDescent="0.25">
      <c r="A178" s="1">
        <v>44581</v>
      </c>
      <c r="B178" s="4">
        <v>27</v>
      </c>
      <c r="C178" s="4">
        <v>27</v>
      </c>
      <c r="D178" s="4">
        <f>2*1/200</f>
        <v>0.01</v>
      </c>
      <c r="E178" s="4">
        <f>14*1/200</f>
        <v>7.0000000000000007E-2</v>
      </c>
      <c r="F178" s="4">
        <v>12.5</v>
      </c>
      <c r="G178" s="5">
        <v>0</v>
      </c>
      <c r="H178" s="5">
        <v>-1</v>
      </c>
      <c r="I178" s="5">
        <v>1.4</v>
      </c>
      <c r="J178" s="5">
        <v>0.4</v>
      </c>
      <c r="P178" t="s">
        <v>35</v>
      </c>
    </row>
    <row r="179" spans="1:16" x14ac:dyDescent="0.25">
      <c r="A179" s="1">
        <v>44581</v>
      </c>
      <c r="B179" s="4">
        <v>27</v>
      </c>
      <c r="C179" s="4">
        <v>28</v>
      </c>
      <c r="D179" s="4">
        <v>5.0000000000000001E-3</v>
      </c>
      <c r="E179" s="4">
        <v>3.5000000000000003E-2</v>
      </c>
      <c r="F179" s="4">
        <v>25</v>
      </c>
      <c r="G179" s="5">
        <v>0</v>
      </c>
      <c r="H179" s="5">
        <v>-1.5</v>
      </c>
      <c r="I179" s="5">
        <v>1.3</v>
      </c>
      <c r="J179" s="5">
        <v>0.4</v>
      </c>
      <c r="M179">
        <v>2</v>
      </c>
      <c r="N179">
        <v>1</v>
      </c>
      <c r="P179" t="s">
        <v>139</v>
      </c>
    </row>
    <row r="180" spans="1:16" x14ac:dyDescent="0.25">
      <c r="A180" s="1">
        <v>44581</v>
      </c>
      <c r="B180" s="4">
        <v>27</v>
      </c>
      <c r="C180" s="4">
        <v>29</v>
      </c>
      <c r="D180" s="4">
        <f>2*1/200</f>
        <v>0.01</v>
      </c>
      <c r="E180" s="4">
        <f>14*1/200</f>
        <v>7.0000000000000007E-2</v>
      </c>
      <c r="F180" s="4">
        <v>12.5</v>
      </c>
      <c r="G180" s="5">
        <v>0</v>
      </c>
      <c r="H180" s="5">
        <v>0</v>
      </c>
      <c r="I180" s="5">
        <v>1.1000000000000001</v>
      </c>
      <c r="J180" s="5">
        <v>0.4</v>
      </c>
      <c r="M180">
        <v>2</v>
      </c>
      <c r="N180">
        <v>1</v>
      </c>
      <c r="P180" t="s">
        <v>139</v>
      </c>
    </row>
    <row r="181" spans="1:16" x14ac:dyDescent="0.25">
      <c r="A181" s="1">
        <v>44581</v>
      </c>
      <c r="B181" s="4">
        <v>27</v>
      </c>
      <c r="C181" s="4">
        <v>30</v>
      </c>
      <c r="D181" s="4">
        <v>5.0000000000000001E-3</v>
      </c>
      <c r="E181" s="4">
        <v>3.5000000000000003E-2</v>
      </c>
      <c r="F181" s="4">
        <v>25</v>
      </c>
      <c r="G181" s="5">
        <v>0</v>
      </c>
      <c r="M181">
        <v>2</v>
      </c>
      <c r="N181">
        <v>1</v>
      </c>
      <c r="P181" t="s">
        <v>424</v>
      </c>
    </row>
    <row r="182" spans="1:16" x14ac:dyDescent="0.25">
      <c r="A182" s="1">
        <v>44581</v>
      </c>
      <c r="B182" s="4">
        <v>27</v>
      </c>
      <c r="C182" s="4">
        <v>38</v>
      </c>
      <c r="D182" s="4">
        <f>20*1/200</f>
        <v>0.1</v>
      </c>
      <c r="E182" s="4">
        <f>140*1/200</f>
        <v>0.7</v>
      </c>
      <c r="F182" s="4">
        <f>1/(D182+E182)</f>
        <v>1.25</v>
      </c>
      <c r="G182" s="5">
        <v>0</v>
      </c>
      <c r="P182" t="s">
        <v>422</v>
      </c>
    </row>
    <row r="183" spans="1:16" x14ac:dyDescent="0.25">
      <c r="A183" s="1">
        <v>44581</v>
      </c>
      <c r="B183" s="4">
        <v>27</v>
      </c>
      <c r="C183" s="4">
        <v>39</v>
      </c>
      <c r="D183" s="4">
        <f>20*1/200</f>
        <v>0.1</v>
      </c>
      <c r="E183" s="4">
        <f>140*1/200</f>
        <v>0.7</v>
      </c>
      <c r="F183" s="4">
        <f t="shared" ref="F183" si="17">1/(D183+E183)</f>
        <v>1.25</v>
      </c>
      <c r="G183" s="5">
        <v>0</v>
      </c>
      <c r="H183" s="5">
        <v>0</v>
      </c>
      <c r="I183" s="5">
        <v>1</v>
      </c>
      <c r="J183" s="5">
        <v>0.4</v>
      </c>
      <c r="M183">
        <v>2</v>
      </c>
      <c r="N183">
        <v>1</v>
      </c>
      <c r="O183">
        <v>3</v>
      </c>
      <c r="P183" t="s">
        <v>20</v>
      </c>
    </row>
    <row r="184" spans="1:16" x14ac:dyDescent="0.25">
      <c r="A184" s="1">
        <v>44594</v>
      </c>
      <c r="B184">
        <v>28</v>
      </c>
      <c r="C184">
        <v>7</v>
      </c>
      <c r="D184">
        <v>5.0000000000000001E-3</v>
      </c>
      <c r="E184">
        <v>3.5000000000000003E-2</v>
      </c>
      <c r="F184">
        <v>25</v>
      </c>
      <c r="G184" s="5">
        <v>0</v>
      </c>
      <c r="H184" s="5">
        <v>-2</v>
      </c>
      <c r="I184" s="5">
        <v>1.3</v>
      </c>
      <c r="J184" s="5">
        <v>0.4</v>
      </c>
      <c r="M184">
        <v>2</v>
      </c>
      <c r="N184">
        <v>1</v>
      </c>
      <c r="O184">
        <v>3</v>
      </c>
      <c r="P184" t="s">
        <v>29</v>
      </c>
    </row>
    <row r="185" spans="1:16" x14ac:dyDescent="0.25">
      <c r="A185" s="1">
        <v>44594</v>
      </c>
      <c r="B185">
        <v>28</v>
      </c>
      <c r="C185">
        <v>8</v>
      </c>
      <c r="D185">
        <v>5.0000000000000001E-3</v>
      </c>
      <c r="E185">
        <v>3.5000000000000003E-2</v>
      </c>
      <c r="F185">
        <v>25</v>
      </c>
      <c r="G185" s="5">
        <v>0</v>
      </c>
      <c r="H185" s="5">
        <v>0</v>
      </c>
      <c r="I185" s="5">
        <v>1.1000000000000001</v>
      </c>
      <c r="J185" s="5">
        <v>0.4</v>
      </c>
      <c r="M185">
        <v>2</v>
      </c>
      <c r="N185">
        <v>1</v>
      </c>
      <c r="P185" t="s">
        <v>44</v>
      </c>
    </row>
    <row r="186" spans="1:16" x14ac:dyDescent="0.25">
      <c r="A186" s="1">
        <v>44594</v>
      </c>
      <c r="B186">
        <v>28</v>
      </c>
      <c r="C186">
        <v>9</v>
      </c>
      <c r="D186">
        <v>5.0000000000000001E-3</v>
      </c>
      <c r="E186">
        <v>3.5000000000000003E-2</v>
      </c>
      <c r="F186">
        <v>25</v>
      </c>
      <c r="G186" s="5">
        <v>0</v>
      </c>
      <c r="H186" s="5">
        <v>-2</v>
      </c>
      <c r="I186" s="5">
        <v>1.3</v>
      </c>
      <c r="J186" s="5">
        <v>0.4</v>
      </c>
      <c r="M186">
        <v>2</v>
      </c>
      <c r="N186">
        <v>1</v>
      </c>
      <c r="O186">
        <v>1</v>
      </c>
      <c r="P186" t="s">
        <v>139</v>
      </c>
    </row>
    <row r="187" spans="1:16" x14ac:dyDescent="0.25">
      <c r="A187" s="6">
        <v>44594</v>
      </c>
      <c r="B187" s="5">
        <v>28</v>
      </c>
      <c r="C187" s="5">
        <v>10</v>
      </c>
      <c r="D187" s="5">
        <v>0.01</v>
      </c>
      <c r="E187" s="5">
        <v>7.0000000000000007E-2</v>
      </c>
      <c r="F187" s="5">
        <v>12.5</v>
      </c>
      <c r="G187" s="5">
        <v>0</v>
      </c>
      <c r="H187" s="5">
        <v>0</v>
      </c>
      <c r="I187" s="5">
        <v>1.1000000000000001</v>
      </c>
      <c r="J187" s="5">
        <v>0.4</v>
      </c>
      <c r="P187" t="s">
        <v>36</v>
      </c>
    </row>
    <row r="188" spans="1:16" x14ac:dyDescent="0.25">
      <c r="A188" s="6">
        <v>44595</v>
      </c>
      <c r="B188">
        <v>29</v>
      </c>
      <c r="C188">
        <v>1</v>
      </c>
      <c r="D188" s="5">
        <f>1*1/200</f>
        <v>5.0000000000000001E-3</v>
      </c>
      <c r="E188" s="5">
        <f>4*1/200</f>
        <v>0.02</v>
      </c>
      <c r="F188" s="5">
        <f t="shared" ref="F188" si="18">1/(D188+E188)</f>
        <v>40</v>
      </c>
      <c r="G188" s="5">
        <v>1</v>
      </c>
      <c r="P188" s="5" t="s">
        <v>31</v>
      </c>
    </row>
    <row r="189" spans="1:16" x14ac:dyDescent="0.25">
      <c r="A189" s="6">
        <v>44595</v>
      </c>
      <c r="B189">
        <v>29</v>
      </c>
      <c r="C189">
        <v>2</v>
      </c>
      <c r="D189" s="5">
        <v>5.0000000000000001E-3</v>
      </c>
      <c r="E189" s="5">
        <v>3.5000000000000003E-2</v>
      </c>
      <c r="F189" s="5">
        <v>25</v>
      </c>
      <c r="G189" s="5">
        <v>1</v>
      </c>
      <c r="P189" s="5" t="s">
        <v>31</v>
      </c>
    </row>
    <row r="190" spans="1:16" x14ac:dyDescent="0.25">
      <c r="A190" s="6">
        <v>44595</v>
      </c>
      <c r="B190">
        <v>29</v>
      </c>
      <c r="C190">
        <v>3</v>
      </c>
      <c r="D190" s="5">
        <v>0.01</v>
      </c>
      <c r="E190" s="5">
        <v>7.0000000000000007E-2</v>
      </c>
      <c r="F190" s="5">
        <v>12.5</v>
      </c>
      <c r="G190" s="5">
        <v>1</v>
      </c>
      <c r="P190" s="5" t="s">
        <v>31</v>
      </c>
    </row>
    <row r="191" spans="1:16" x14ac:dyDescent="0.25">
      <c r="A191" s="6">
        <v>44595</v>
      </c>
      <c r="B191" s="5">
        <v>29</v>
      </c>
      <c r="C191" s="5">
        <v>4</v>
      </c>
      <c r="D191" s="5">
        <v>5.0000000000000001E-3</v>
      </c>
      <c r="E191" s="5">
        <v>3.5000000000000003E-2</v>
      </c>
      <c r="F191" s="5">
        <v>25</v>
      </c>
      <c r="G191" s="5">
        <v>0</v>
      </c>
      <c r="H191" s="5">
        <v>-1</v>
      </c>
      <c r="I191" s="5">
        <v>1.2</v>
      </c>
      <c r="J191" s="5">
        <v>0.4</v>
      </c>
      <c r="M191">
        <v>2</v>
      </c>
      <c r="N191">
        <v>1</v>
      </c>
      <c r="O191">
        <v>3</v>
      </c>
      <c r="P191" s="5" t="s">
        <v>114</v>
      </c>
    </row>
    <row r="192" spans="1:16" x14ac:dyDescent="0.25">
      <c r="A192" s="6">
        <v>44595</v>
      </c>
      <c r="B192" s="5">
        <v>29</v>
      </c>
      <c r="C192" s="5">
        <v>5</v>
      </c>
      <c r="D192" s="5">
        <v>0.01</v>
      </c>
      <c r="E192" s="5">
        <v>7.0000000000000007E-2</v>
      </c>
      <c r="F192" s="5">
        <v>12.5</v>
      </c>
      <c r="G192" s="5">
        <v>1</v>
      </c>
      <c r="H192" s="5">
        <v>0</v>
      </c>
      <c r="I192" s="5">
        <v>1.1000000000000001</v>
      </c>
      <c r="J192" s="5">
        <v>0.4</v>
      </c>
      <c r="M192">
        <v>2</v>
      </c>
      <c r="N192">
        <v>1</v>
      </c>
      <c r="O192">
        <v>4</v>
      </c>
      <c r="P192" s="5" t="s">
        <v>294</v>
      </c>
    </row>
    <row r="193" spans="1:16" x14ac:dyDescent="0.25">
      <c r="A193" s="6">
        <v>44595</v>
      </c>
      <c r="B193" s="5">
        <v>29</v>
      </c>
      <c r="C193">
        <v>6</v>
      </c>
      <c r="D193" s="5">
        <v>5.0000000000000001E-3</v>
      </c>
      <c r="E193" s="5">
        <v>3.5000000000000003E-2</v>
      </c>
      <c r="F193" s="5">
        <v>25</v>
      </c>
      <c r="G193" s="5">
        <v>0</v>
      </c>
      <c r="H193" s="5">
        <v>0</v>
      </c>
      <c r="I193" s="5">
        <v>1.1000000000000001</v>
      </c>
      <c r="J193" s="5">
        <v>0.4</v>
      </c>
      <c r="P193" t="s">
        <v>30</v>
      </c>
    </row>
    <row r="194" spans="1:16" x14ac:dyDescent="0.25">
      <c r="A194" s="6">
        <v>44595</v>
      </c>
      <c r="B194" s="5">
        <v>29</v>
      </c>
      <c r="C194">
        <v>7</v>
      </c>
      <c r="D194" s="5">
        <v>0.01</v>
      </c>
      <c r="E194" s="5">
        <v>7.0000000000000007E-2</v>
      </c>
      <c r="F194" s="5">
        <v>12.5</v>
      </c>
      <c r="G194" s="5">
        <v>0</v>
      </c>
      <c r="H194" s="5">
        <v>0</v>
      </c>
      <c r="I194" s="5">
        <v>1.1000000000000001</v>
      </c>
      <c r="J194" s="5">
        <v>1.75</v>
      </c>
      <c r="M194">
        <v>1</v>
      </c>
      <c r="N194">
        <v>1</v>
      </c>
      <c r="O194">
        <v>3</v>
      </c>
      <c r="P194" t="s">
        <v>30</v>
      </c>
    </row>
    <row r="195" spans="1:16" x14ac:dyDescent="0.25">
      <c r="A195" s="6">
        <v>44595</v>
      </c>
      <c r="B195" s="5">
        <v>29</v>
      </c>
      <c r="C195" s="5">
        <v>8</v>
      </c>
      <c r="D195" s="5">
        <v>5.0000000000000001E-3</v>
      </c>
      <c r="E195" s="5">
        <v>3.5000000000000003E-2</v>
      </c>
      <c r="F195" s="5">
        <v>25</v>
      </c>
      <c r="G195" s="5">
        <v>0</v>
      </c>
      <c r="H195" s="5">
        <v>0</v>
      </c>
      <c r="I195" s="5">
        <v>1.1000000000000001</v>
      </c>
      <c r="J195" s="5">
        <v>0.4</v>
      </c>
      <c r="P195" s="5" t="s">
        <v>19</v>
      </c>
    </row>
    <row r="196" spans="1:16" x14ac:dyDescent="0.25">
      <c r="A196" s="6">
        <v>44595</v>
      </c>
      <c r="B196" s="5">
        <v>29</v>
      </c>
      <c r="C196" s="5">
        <v>9</v>
      </c>
      <c r="D196" s="5">
        <v>0.01</v>
      </c>
      <c r="E196" s="5">
        <v>7.0000000000000007E-2</v>
      </c>
      <c r="F196" s="5">
        <v>12.5</v>
      </c>
      <c r="G196" s="5">
        <v>0</v>
      </c>
      <c r="H196" s="5">
        <v>-2</v>
      </c>
      <c r="I196" s="5">
        <v>1.2</v>
      </c>
      <c r="J196" s="5">
        <v>0.4</v>
      </c>
      <c r="P196" s="5" t="s">
        <v>19</v>
      </c>
    </row>
    <row r="197" spans="1:16" x14ac:dyDescent="0.25">
      <c r="A197" s="6">
        <v>44595</v>
      </c>
      <c r="B197" s="5">
        <v>29</v>
      </c>
      <c r="C197" s="5">
        <v>12</v>
      </c>
      <c r="D197" s="5">
        <v>0.01</v>
      </c>
      <c r="E197" s="5">
        <v>7.0000000000000007E-2</v>
      </c>
      <c r="F197" s="5">
        <v>12.5</v>
      </c>
      <c r="G197" s="5">
        <v>0</v>
      </c>
      <c r="H197" s="5">
        <v>0</v>
      </c>
      <c r="I197" s="5">
        <v>1.1000000000000001</v>
      </c>
      <c r="J197" s="5">
        <v>0.4</v>
      </c>
      <c r="M197">
        <v>2</v>
      </c>
      <c r="N197">
        <v>1</v>
      </c>
      <c r="O197">
        <v>3</v>
      </c>
      <c r="P197" s="5" t="s">
        <v>150</v>
      </c>
    </row>
    <row r="198" spans="1:16" x14ac:dyDescent="0.25">
      <c r="A198" s="6">
        <v>44595</v>
      </c>
      <c r="B198" s="5">
        <v>29</v>
      </c>
      <c r="C198" s="5">
        <v>13</v>
      </c>
      <c r="D198" s="5">
        <v>5.0000000000000001E-3</v>
      </c>
      <c r="E198" s="5">
        <v>3.5000000000000003E-2</v>
      </c>
      <c r="F198" s="5">
        <v>25</v>
      </c>
      <c r="G198" s="5">
        <v>0</v>
      </c>
      <c r="H198" s="5">
        <v>0</v>
      </c>
      <c r="I198" s="5">
        <v>1.1000000000000001</v>
      </c>
      <c r="J198" s="5">
        <v>0.4</v>
      </c>
      <c r="P198" s="5" t="s">
        <v>141</v>
      </c>
    </row>
    <row r="199" spans="1:16" x14ac:dyDescent="0.25">
      <c r="A199" s="6">
        <v>44595</v>
      </c>
      <c r="B199" s="5">
        <v>29</v>
      </c>
      <c r="C199" s="5">
        <v>14</v>
      </c>
      <c r="D199" s="5">
        <v>0.1</v>
      </c>
      <c r="E199" s="5">
        <v>0.7</v>
      </c>
      <c r="F199" s="5">
        <v>1.25</v>
      </c>
      <c r="G199" s="5">
        <v>0</v>
      </c>
      <c r="H199">
        <v>0</v>
      </c>
      <c r="I199">
        <v>1</v>
      </c>
      <c r="J199">
        <v>0.4</v>
      </c>
      <c r="P199" s="5" t="s">
        <v>30</v>
      </c>
    </row>
    <row r="200" spans="1:16" x14ac:dyDescent="0.25">
      <c r="A200" s="6">
        <v>44595</v>
      </c>
      <c r="B200" s="5">
        <v>29</v>
      </c>
      <c r="C200" s="5">
        <v>15</v>
      </c>
      <c r="D200" s="5">
        <v>0.1</v>
      </c>
      <c r="E200" s="5">
        <v>0.7</v>
      </c>
      <c r="F200" s="5">
        <v>1.25</v>
      </c>
      <c r="G200" s="5">
        <v>0</v>
      </c>
      <c r="H200" s="5">
        <v>0</v>
      </c>
      <c r="I200" s="5">
        <v>0.4</v>
      </c>
      <c r="J200" s="5">
        <v>0.4</v>
      </c>
      <c r="M200">
        <v>2</v>
      </c>
      <c r="N200">
        <v>1</v>
      </c>
      <c r="P200" s="5" t="s">
        <v>362</v>
      </c>
    </row>
    <row r="201" spans="1:16" x14ac:dyDescent="0.25">
      <c r="A201" s="1">
        <v>44652</v>
      </c>
      <c r="B201">
        <v>30</v>
      </c>
      <c r="C201">
        <v>8</v>
      </c>
      <c r="D201">
        <v>0.01</v>
      </c>
      <c r="E201">
        <v>7.0000000000000007E-2</v>
      </c>
      <c r="F201">
        <v>12.5</v>
      </c>
      <c r="G201" s="5">
        <v>0</v>
      </c>
      <c r="H201">
        <v>0</v>
      </c>
      <c r="I201">
        <v>1.1000000000000001</v>
      </c>
      <c r="J201">
        <v>0.4</v>
      </c>
      <c r="M201">
        <v>2</v>
      </c>
      <c r="N201">
        <v>1</v>
      </c>
      <c r="O201">
        <v>3</v>
      </c>
      <c r="P201" t="s">
        <v>151</v>
      </c>
    </row>
    <row r="202" spans="1:16" x14ac:dyDescent="0.25">
      <c r="A202" s="6">
        <v>44652</v>
      </c>
      <c r="B202" s="5">
        <v>30</v>
      </c>
      <c r="C202" s="5">
        <v>9</v>
      </c>
      <c r="D202" s="5">
        <v>5.0000000000000001E-3</v>
      </c>
      <c r="E202" s="5">
        <v>3.5000000000000003E-2</v>
      </c>
      <c r="F202" s="5">
        <v>25</v>
      </c>
      <c r="G202" s="5">
        <v>0</v>
      </c>
      <c r="H202" s="5">
        <v>-1</v>
      </c>
      <c r="I202" s="5">
        <v>1.2</v>
      </c>
      <c r="J202" s="5">
        <v>0.4</v>
      </c>
      <c r="M202">
        <v>2</v>
      </c>
      <c r="N202">
        <v>1</v>
      </c>
      <c r="O202">
        <v>3</v>
      </c>
      <c r="P202" s="5" t="s">
        <v>46</v>
      </c>
    </row>
    <row r="203" spans="1:16" x14ac:dyDescent="0.25">
      <c r="A203" s="6">
        <v>44652</v>
      </c>
      <c r="B203" s="5">
        <v>30</v>
      </c>
      <c r="C203" s="5">
        <v>10</v>
      </c>
      <c r="D203" s="5">
        <v>1.4999999999999999E-2</v>
      </c>
      <c r="E203" s="5">
        <v>8.5000000000000006E-2</v>
      </c>
      <c r="F203" s="5">
        <v>10</v>
      </c>
      <c r="G203" s="5">
        <v>0</v>
      </c>
      <c r="H203" s="5">
        <v>0</v>
      </c>
      <c r="I203" s="5">
        <v>1.1000000000000001</v>
      </c>
      <c r="J203" s="5">
        <v>0.4</v>
      </c>
      <c r="P203" s="5" t="s">
        <v>38</v>
      </c>
    </row>
    <row r="204" spans="1:16" x14ac:dyDescent="0.25">
      <c r="A204" s="6">
        <v>44652</v>
      </c>
      <c r="B204" s="5">
        <v>30</v>
      </c>
      <c r="C204" s="5">
        <v>11</v>
      </c>
      <c r="D204" s="5">
        <v>1.4999999999999999E-2</v>
      </c>
      <c r="E204" s="5">
        <v>0.105</v>
      </c>
      <c r="F204" s="5">
        <v>8.33</v>
      </c>
      <c r="G204" s="5">
        <v>0</v>
      </c>
      <c r="H204" s="5">
        <v>0</v>
      </c>
      <c r="I204" s="5">
        <v>1.1000000000000001</v>
      </c>
      <c r="J204" s="5">
        <v>0.4</v>
      </c>
      <c r="P204" s="5" t="s">
        <v>38</v>
      </c>
    </row>
    <row r="205" spans="1:16" x14ac:dyDescent="0.25">
      <c r="A205" s="6">
        <v>44652</v>
      </c>
      <c r="B205" s="5">
        <v>30</v>
      </c>
      <c r="C205" s="5">
        <v>12</v>
      </c>
      <c r="D205" s="5">
        <f>4*1/200</f>
        <v>0.02</v>
      </c>
      <c r="E205" s="5">
        <f>28*1/200</f>
        <v>0.14000000000000001</v>
      </c>
      <c r="F205" s="5">
        <f t="shared" ref="F205" si="19">1/(D205+E205)</f>
        <v>6.25</v>
      </c>
      <c r="G205" s="5">
        <v>0</v>
      </c>
      <c r="H205" s="5">
        <v>0</v>
      </c>
      <c r="I205" s="5">
        <v>1.2</v>
      </c>
      <c r="J205" s="5">
        <v>1.4</v>
      </c>
      <c r="M205">
        <v>1</v>
      </c>
      <c r="N205">
        <v>1</v>
      </c>
      <c r="O205">
        <v>1</v>
      </c>
      <c r="P205" t="s">
        <v>151</v>
      </c>
    </row>
    <row r="206" spans="1:16" x14ac:dyDescent="0.25">
      <c r="A206" s="6">
        <v>44652</v>
      </c>
      <c r="B206" s="5">
        <v>30</v>
      </c>
      <c r="C206" s="5">
        <v>16</v>
      </c>
      <c r="D206" s="5">
        <v>0.01</v>
      </c>
      <c r="E206" s="5">
        <v>7.0000000000000007E-2</v>
      </c>
      <c r="F206" s="5">
        <v>12.5</v>
      </c>
      <c r="G206" s="5">
        <v>0</v>
      </c>
      <c r="H206" s="5">
        <v>0</v>
      </c>
      <c r="I206" s="5">
        <v>1.1000000000000001</v>
      </c>
      <c r="J206" s="5">
        <v>0.4</v>
      </c>
      <c r="P206" s="5" t="s">
        <v>39</v>
      </c>
    </row>
    <row r="207" spans="1:16" x14ac:dyDescent="0.25">
      <c r="A207" s="6">
        <v>44652</v>
      </c>
      <c r="B207" s="5">
        <v>30</v>
      </c>
      <c r="C207" s="5">
        <v>17</v>
      </c>
      <c r="D207" s="5">
        <v>1.4999999999999999E-2</v>
      </c>
      <c r="E207" s="5">
        <v>8.5000000000000006E-2</v>
      </c>
      <c r="F207" s="5">
        <v>10</v>
      </c>
      <c r="G207" s="5">
        <v>0</v>
      </c>
      <c r="H207" s="5">
        <v>0</v>
      </c>
      <c r="I207" s="5">
        <v>1.1000000000000001</v>
      </c>
      <c r="J207" s="5">
        <v>0.4</v>
      </c>
      <c r="P207" s="5" t="s">
        <v>39</v>
      </c>
    </row>
    <row r="208" spans="1:16" x14ac:dyDescent="0.25">
      <c r="A208" s="6">
        <v>44652</v>
      </c>
      <c r="B208" s="5">
        <v>30</v>
      </c>
      <c r="C208" s="5">
        <v>18</v>
      </c>
      <c r="D208" s="5">
        <v>5.0000000000000001E-3</v>
      </c>
      <c r="E208" s="5">
        <v>3.5000000000000003E-2</v>
      </c>
      <c r="F208" s="5">
        <v>25</v>
      </c>
      <c r="G208" s="5">
        <v>0</v>
      </c>
      <c r="H208" s="5">
        <v>0</v>
      </c>
      <c r="I208" s="5">
        <v>1.1000000000000001</v>
      </c>
      <c r="J208" s="5">
        <v>0.4</v>
      </c>
      <c r="P208" s="5" t="s">
        <v>39</v>
      </c>
    </row>
    <row r="209" spans="1:16" x14ac:dyDescent="0.25">
      <c r="A209" s="6">
        <v>44652</v>
      </c>
      <c r="B209" s="5">
        <v>30</v>
      </c>
      <c r="C209" s="5">
        <v>19</v>
      </c>
      <c r="D209" s="5">
        <v>1.4999999999999999E-2</v>
      </c>
      <c r="E209" s="5">
        <v>0.105</v>
      </c>
      <c r="F209" s="5">
        <v>8.33</v>
      </c>
      <c r="G209" s="5">
        <v>0</v>
      </c>
      <c r="H209" s="5">
        <v>0</v>
      </c>
      <c r="I209" s="5">
        <v>1.1000000000000001</v>
      </c>
      <c r="J209" s="5">
        <v>0.4</v>
      </c>
      <c r="P209" s="5" t="s">
        <v>39</v>
      </c>
    </row>
    <row r="210" spans="1:16" x14ac:dyDescent="0.25">
      <c r="A210" s="6">
        <v>44652</v>
      </c>
      <c r="B210" s="5">
        <v>30</v>
      </c>
      <c r="C210" s="5">
        <v>21</v>
      </c>
      <c r="D210" s="5">
        <f>4*1/200</f>
        <v>0.02</v>
      </c>
      <c r="E210" s="5">
        <f>28*1/200</f>
        <v>0.14000000000000001</v>
      </c>
      <c r="F210" s="5">
        <f t="shared" ref="F210" si="20">1/(D210+E210)</f>
        <v>6.25</v>
      </c>
      <c r="G210" s="5">
        <v>0</v>
      </c>
      <c r="H210" s="5">
        <v>0</v>
      </c>
      <c r="I210" s="5">
        <v>1</v>
      </c>
      <c r="J210" s="5">
        <v>0.4</v>
      </c>
      <c r="P210" s="5" t="s">
        <v>39</v>
      </c>
    </row>
    <row r="211" spans="1:16" x14ac:dyDescent="0.25">
      <c r="A211" s="6">
        <v>44652</v>
      </c>
      <c r="B211" s="5">
        <v>30</v>
      </c>
      <c r="C211" s="5">
        <v>25</v>
      </c>
      <c r="D211" s="5">
        <f>4*1/200</f>
        <v>0.02</v>
      </c>
      <c r="E211" s="5">
        <f>28*1/200</f>
        <v>0.14000000000000001</v>
      </c>
      <c r="F211" s="5">
        <f t="shared" ref="F211" si="21">1/(D211+E211)</f>
        <v>6.25</v>
      </c>
      <c r="G211" s="5">
        <v>0</v>
      </c>
      <c r="H211" s="5">
        <v>0</v>
      </c>
      <c r="I211" s="5">
        <v>1.2</v>
      </c>
      <c r="J211" s="5">
        <v>1.4</v>
      </c>
      <c r="M211">
        <v>1</v>
      </c>
      <c r="N211">
        <v>1</v>
      </c>
      <c r="P211" s="5" t="s">
        <v>142</v>
      </c>
    </row>
    <row r="212" spans="1:16" x14ac:dyDescent="0.25">
      <c r="A212" s="6">
        <v>44652</v>
      </c>
      <c r="B212" s="5">
        <v>30</v>
      </c>
      <c r="C212" s="5">
        <v>26</v>
      </c>
      <c r="D212" s="5">
        <v>1.4999999999999999E-2</v>
      </c>
      <c r="E212" s="5">
        <v>0.105</v>
      </c>
      <c r="F212" s="5">
        <v>8.33</v>
      </c>
      <c r="G212" s="5">
        <v>0</v>
      </c>
      <c r="H212" s="5">
        <v>0</v>
      </c>
      <c r="I212" s="5">
        <v>1.1000000000000001</v>
      </c>
      <c r="J212" s="5">
        <v>0.4</v>
      </c>
      <c r="P212" s="5" t="s">
        <v>142</v>
      </c>
    </row>
    <row r="213" spans="1:16" x14ac:dyDescent="0.25">
      <c r="A213" s="6">
        <v>44652</v>
      </c>
      <c r="B213" s="5">
        <v>30</v>
      </c>
      <c r="C213" s="5">
        <v>27</v>
      </c>
      <c r="D213" s="5">
        <v>1.4999999999999999E-2</v>
      </c>
      <c r="E213" s="5">
        <v>8.5000000000000006E-2</v>
      </c>
      <c r="F213" s="5">
        <v>10</v>
      </c>
      <c r="G213" s="5">
        <v>0</v>
      </c>
      <c r="H213" s="5">
        <v>0</v>
      </c>
      <c r="I213" s="5">
        <v>1.1000000000000001</v>
      </c>
      <c r="J213" s="5">
        <v>0.4</v>
      </c>
      <c r="P213" s="5" t="s">
        <v>142</v>
      </c>
    </row>
    <row r="214" spans="1:16" x14ac:dyDescent="0.25">
      <c r="A214" s="6">
        <v>44652</v>
      </c>
      <c r="B214" s="5">
        <v>30</v>
      </c>
      <c r="C214" s="5">
        <v>28</v>
      </c>
      <c r="D214" s="5">
        <v>0.01</v>
      </c>
      <c r="E214" s="5">
        <v>7.0000000000000007E-2</v>
      </c>
      <c r="F214" s="5">
        <v>12.5</v>
      </c>
      <c r="G214" s="5">
        <v>0</v>
      </c>
      <c r="H214" s="5">
        <v>0</v>
      </c>
      <c r="I214" s="5">
        <v>1.1000000000000001</v>
      </c>
      <c r="J214" s="5">
        <v>0.4</v>
      </c>
      <c r="M214">
        <v>2</v>
      </c>
      <c r="N214">
        <v>1</v>
      </c>
      <c r="P214" s="5" t="s">
        <v>142</v>
      </c>
    </row>
    <row r="215" spans="1:16" x14ac:dyDescent="0.25">
      <c r="A215" s="6">
        <v>44652</v>
      </c>
      <c r="B215" s="5">
        <v>30</v>
      </c>
      <c r="C215" s="5">
        <v>29</v>
      </c>
      <c r="D215" s="5">
        <v>5.0000000000000001E-3</v>
      </c>
      <c r="E215" s="5">
        <v>3.5000000000000003E-2</v>
      </c>
      <c r="F215" s="5">
        <v>25</v>
      </c>
      <c r="G215" s="5">
        <v>0</v>
      </c>
      <c r="H215" s="5">
        <v>0</v>
      </c>
      <c r="I215" s="5">
        <v>1.1000000000000001</v>
      </c>
      <c r="J215" s="5">
        <v>0.4</v>
      </c>
      <c r="M215">
        <v>2</v>
      </c>
      <c r="N215">
        <v>1</v>
      </c>
      <c r="P215" s="5" t="s">
        <v>142</v>
      </c>
    </row>
    <row r="216" spans="1:16" x14ac:dyDescent="0.25">
      <c r="A216" s="6">
        <v>44652</v>
      </c>
      <c r="B216" s="5">
        <v>30</v>
      </c>
      <c r="C216" s="5">
        <v>30</v>
      </c>
      <c r="D216" s="5">
        <v>0.01</v>
      </c>
      <c r="E216" s="5">
        <v>7.0000000000000007E-2</v>
      </c>
      <c r="F216" s="5">
        <v>12.5</v>
      </c>
      <c r="G216" s="5">
        <v>0</v>
      </c>
      <c r="H216" s="5">
        <v>0</v>
      </c>
      <c r="I216" s="5">
        <v>1</v>
      </c>
      <c r="J216" s="5">
        <v>1.4</v>
      </c>
      <c r="M216">
        <v>1</v>
      </c>
      <c r="N216">
        <v>1</v>
      </c>
      <c r="O216">
        <v>3</v>
      </c>
      <c r="P216" s="5" t="s">
        <v>30</v>
      </c>
    </row>
    <row r="217" spans="1:16" x14ac:dyDescent="0.25">
      <c r="A217" s="6">
        <v>44652</v>
      </c>
      <c r="B217" s="5">
        <v>30</v>
      </c>
      <c r="C217" s="5">
        <v>31</v>
      </c>
      <c r="D217" s="5">
        <f>4*1/200</f>
        <v>0.02</v>
      </c>
      <c r="E217" s="5">
        <f>28*1/200</f>
        <v>0.14000000000000001</v>
      </c>
      <c r="F217" s="5">
        <f t="shared" ref="F217" si="22">1/(D217+E217)</f>
        <v>6.25</v>
      </c>
      <c r="G217" s="5">
        <v>0</v>
      </c>
      <c r="H217" s="5">
        <v>0</v>
      </c>
      <c r="I217" s="5">
        <v>1</v>
      </c>
      <c r="J217" s="5">
        <v>1.4</v>
      </c>
      <c r="M217">
        <v>1</v>
      </c>
      <c r="N217">
        <v>1</v>
      </c>
      <c r="O217">
        <v>3</v>
      </c>
      <c r="P217" s="5" t="s">
        <v>30</v>
      </c>
    </row>
    <row r="218" spans="1:16" x14ac:dyDescent="0.25">
      <c r="A218" s="6">
        <v>44652</v>
      </c>
      <c r="B218" s="5">
        <v>30</v>
      </c>
      <c r="C218" s="5">
        <v>32</v>
      </c>
      <c r="D218" s="5">
        <v>5.0000000000000001E-3</v>
      </c>
      <c r="E218" s="5">
        <v>3.5000000000000003E-2</v>
      </c>
      <c r="F218" s="5">
        <v>25</v>
      </c>
      <c r="G218" s="5">
        <v>0</v>
      </c>
      <c r="H218" s="5">
        <v>0</v>
      </c>
      <c r="I218" s="5">
        <v>1.1000000000000001</v>
      </c>
      <c r="J218" s="5">
        <v>0.4</v>
      </c>
      <c r="P218" s="5" t="s">
        <v>45</v>
      </c>
    </row>
    <row r="219" spans="1:16" x14ac:dyDescent="0.25">
      <c r="A219" s="6">
        <v>44652</v>
      </c>
      <c r="B219" s="5">
        <v>31</v>
      </c>
      <c r="C219" s="5">
        <v>39</v>
      </c>
      <c r="D219" s="5">
        <f>4*1/200</f>
        <v>0.02</v>
      </c>
      <c r="E219" s="5">
        <f>28*1/200</f>
        <v>0.14000000000000001</v>
      </c>
      <c r="F219" s="5">
        <f t="shared" ref="F219" si="23">1/(D219+E219)</f>
        <v>6.25</v>
      </c>
      <c r="G219" s="5">
        <v>0</v>
      </c>
      <c r="H219" s="5">
        <v>0</v>
      </c>
      <c r="I219" s="5">
        <v>1.2</v>
      </c>
      <c r="J219" s="5">
        <v>1.4</v>
      </c>
      <c r="M219">
        <v>1</v>
      </c>
      <c r="N219">
        <v>1</v>
      </c>
      <c r="O219">
        <v>3</v>
      </c>
      <c r="P219" s="5" t="s">
        <v>151</v>
      </c>
    </row>
    <row r="220" spans="1:16" x14ac:dyDescent="0.25">
      <c r="A220" s="6">
        <v>44652</v>
      </c>
      <c r="B220" s="5">
        <v>31</v>
      </c>
      <c r="C220" s="5">
        <v>40</v>
      </c>
      <c r="D220" s="5">
        <v>1.4999999999999999E-2</v>
      </c>
      <c r="E220" s="5">
        <v>0.105</v>
      </c>
      <c r="F220" s="5">
        <v>8.33</v>
      </c>
      <c r="G220" s="5">
        <v>0</v>
      </c>
      <c r="H220" s="5">
        <v>0</v>
      </c>
      <c r="I220" s="5">
        <v>1.1000000000000001</v>
      </c>
      <c r="J220" s="5">
        <v>0.4</v>
      </c>
      <c r="P220" s="5" t="s">
        <v>38</v>
      </c>
    </row>
    <row r="221" spans="1:16" x14ac:dyDescent="0.25">
      <c r="A221" s="6">
        <v>44652</v>
      </c>
      <c r="B221" s="5">
        <v>31</v>
      </c>
      <c r="C221" s="5">
        <v>41</v>
      </c>
      <c r="D221" s="5">
        <v>1.4999999999999999E-2</v>
      </c>
      <c r="E221" s="5">
        <v>8.5000000000000006E-2</v>
      </c>
      <c r="F221" s="5">
        <v>10</v>
      </c>
      <c r="G221" s="5">
        <v>0</v>
      </c>
      <c r="H221" s="5">
        <v>0</v>
      </c>
      <c r="I221" s="5">
        <v>1.1000000000000001</v>
      </c>
      <c r="J221" s="5">
        <v>0.4</v>
      </c>
      <c r="P221" s="5" t="s">
        <v>38</v>
      </c>
    </row>
    <row r="222" spans="1:16" x14ac:dyDescent="0.25">
      <c r="A222" s="6">
        <v>44652</v>
      </c>
      <c r="B222" s="5">
        <v>31</v>
      </c>
      <c r="C222" s="5">
        <v>42</v>
      </c>
      <c r="D222" s="5">
        <v>0.01</v>
      </c>
      <c r="E222" s="5">
        <v>7.0000000000000007E-2</v>
      </c>
      <c r="F222" s="5">
        <v>12.5</v>
      </c>
      <c r="G222" s="5">
        <v>0</v>
      </c>
      <c r="H222" s="5">
        <v>-1</v>
      </c>
      <c r="I222" s="5">
        <v>1.3</v>
      </c>
      <c r="J222" s="5">
        <v>0.4</v>
      </c>
      <c r="M222">
        <v>2</v>
      </c>
      <c r="N222">
        <v>1</v>
      </c>
      <c r="O222">
        <v>3</v>
      </c>
      <c r="P222" s="7" t="s">
        <v>151</v>
      </c>
    </row>
    <row r="223" spans="1:16" x14ac:dyDescent="0.25">
      <c r="A223" s="6">
        <v>44652</v>
      </c>
      <c r="B223" s="5">
        <v>31</v>
      </c>
      <c r="C223" s="5">
        <v>43</v>
      </c>
      <c r="D223" s="5">
        <v>5.0000000000000001E-3</v>
      </c>
      <c r="E223" s="5">
        <v>3.5000000000000003E-2</v>
      </c>
      <c r="F223" s="5">
        <v>25</v>
      </c>
      <c r="G223" s="5">
        <v>0</v>
      </c>
      <c r="H223" s="5">
        <v>-1</v>
      </c>
      <c r="I223" s="5">
        <v>1.2</v>
      </c>
      <c r="J223" s="5">
        <v>0.4</v>
      </c>
      <c r="M223">
        <v>2</v>
      </c>
      <c r="N223">
        <v>1</v>
      </c>
      <c r="O223">
        <v>3</v>
      </c>
      <c r="P223" s="5" t="s">
        <v>46</v>
      </c>
    </row>
    <row r="224" spans="1:16" x14ac:dyDescent="0.25">
      <c r="A224" s="6">
        <v>44652</v>
      </c>
      <c r="B224" s="5">
        <v>31</v>
      </c>
      <c r="C224" s="5">
        <v>44</v>
      </c>
      <c r="D224" s="5">
        <v>1.4999999999999999E-2</v>
      </c>
      <c r="E224" s="5">
        <v>8.5000000000000006E-2</v>
      </c>
      <c r="F224" s="5">
        <v>10</v>
      </c>
      <c r="G224" s="5">
        <v>0</v>
      </c>
      <c r="H224" s="5">
        <v>0</v>
      </c>
      <c r="I224" s="5">
        <v>1.1000000000000001</v>
      </c>
      <c r="J224" s="5">
        <v>0.4</v>
      </c>
      <c r="P224" s="5" t="s">
        <v>40</v>
      </c>
    </row>
    <row r="225" spans="1:16" x14ac:dyDescent="0.25">
      <c r="A225" s="1">
        <v>44658</v>
      </c>
      <c r="B225">
        <v>32</v>
      </c>
      <c r="C225">
        <v>9</v>
      </c>
      <c r="D225">
        <v>0.01</v>
      </c>
      <c r="E225">
        <v>7.0000000000000007E-2</v>
      </c>
      <c r="F225">
        <v>12.5</v>
      </c>
      <c r="G225" s="5">
        <v>0</v>
      </c>
      <c r="H225">
        <v>0</v>
      </c>
      <c r="I225">
        <v>1.1000000000000001</v>
      </c>
      <c r="J225">
        <v>0.4</v>
      </c>
      <c r="M225">
        <v>2</v>
      </c>
      <c r="N225">
        <v>1</v>
      </c>
      <c r="O225">
        <v>3</v>
      </c>
      <c r="P225" t="s">
        <v>295</v>
      </c>
    </row>
    <row r="226" spans="1:16" x14ac:dyDescent="0.25">
      <c r="A226" s="1">
        <v>44658</v>
      </c>
      <c r="B226">
        <v>32</v>
      </c>
      <c r="C226">
        <v>10</v>
      </c>
      <c r="D226">
        <v>1.4999999999999999E-2</v>
      </c>
      <c r="E226">
        <v>8.5000000000000006E-2</v>
      </c>
      <c r="F226">
        <v>10</v>
      </c>
      <c r="G226" s="5">
        <v>0</v>
      </c>
      <c r="H226">
        <v>0</v>
      </c>
      <c r="I226">
        <v>1.1000000000000001</v>
      </c>
      <c r="J226">
        <v>0.4</v>
      </c>
      <c r="P226" t="s">
        <v>41</v>
      </c>
    </row>
    <row r="227" spans="1:16" x14ac:dyDescent="0.25">
      <c r="A227" s="1">
        <v>44658</v>
      </c>
      <c r="B227">
        <v>32</v>
      </c>
      <c r="C227">
        <v>11</v>
      </c>
      <c r="D227">
        <v>1.4999999999999999E-2</v>
      </c>
      <c r="E227">
        <v>0.105</v>
      </c>
      <c r="F227">
        <v>8.33</v>
      </c>
      <c r="G227" s="5">
        <v>0</v>
      </c>
      <c r="H227">
        <v>-2</v>
      </c>
      <c r="I227">
        <v>1.3</v>
      </c>
      <c r="J227">
        <v>0.4</v>
      </c>
      <c r="P227" t="s">
        <v>41</v>
      </c>
    </row>
    <row r="228" spans="1:16" x14ac:dyDescent="0.25">
      <c r="A228" s="1">
        <v>44658</v>
      </c>
      <c r="B228">
        <v>32</v>
      </c>
      <c r="C228">
        <v>19</v>
      </c>
      <c r="D228">
        <v>0.01</v>
      </c>
      <c r="E228">
        <v>7.0000000000000007E-2</v>
      </c>
      <c r="F228">
        <v>12.5</v>
      </c>
      <c r="G228" s="5">
        <v>0</v>
      </c>
      <c r="H228">
        <v>0</v>
      </c>
      <c r="I228">
        <v>1.1000000000000001</v>
      </c>
      <c r="J228">
        <v>0.4</v>
      </c>
      <c r="P228" t="s">
        <v>42</v>
      </c>
    </row>
    <row r="229" spans="1:16" x14ac:dyDescent="0.25">
      <c r="A229" s="1">
        <v>44658</v>
      </c>
      <c r="B229">
        <v>32</v>
      </c>
      <c r="C229">
        <v>20</v>
      </c>
      <c r="D229">
        <v>5.0000000000000001E-3</v>
      </c>
      <c r="E229">
        <v>3.5000000000000003E-2</v>
      </c>
      <c r="F229">
        <v>25</v>
      </c>
      <c r="G229" s="5">
        <v>0</v>
      </c>
      <c r="H229">
        <v>0</v>
      </c>
      <c r="I229">
        <v>1.1000000000000001</v>
      </c>
      <c r="J229">
        <v>0.4</v>
      </c>
      <c r="P229" t="s">
        <v>42</v>
      </c>
    </row>
    <row r="230" spans="1:16" x14ac:dyDescent="0.25">
      <c r="A230" s="1">
        <v>44658</v>
      </c>
      <c r="B230">
        <v>32</v>
      </c>
      <c r="C230">
        <v>21</v>
      </c>
      <c r="D230">
        <v>5.0000000000000001E-3</v>
      </c>
      <c r="E230">
        <v>3.5000000000000003E-2</v>
      </c>
      <c r="F230">
        <v>25</v>
      </c>
      <c r="G230" s="5">
        <v>0</v>
      </c>
      <c r="H230">
        <v>-1</v>
      </c>
      <c r="I230">
        <v>1.2</v>
      </c>
      <c r="J230">
        <v>1.2</v>
      </c>
      <c r="M230">
        <v>1</v>
      </c>
      <c r="N230">
        <v>1</v>
      </c>
      <c r="O230">
        <v>3</v>
      </c>
      <c r="P230" t="s">
        <v>46</v>
      </c>
    </row>
    <row r="231" spans="1:16" x14ac:dyDescent="0.25">
      <c r="A231" s="1">
        <v>44658</v>
      </c>
      <c r="B231">
        <v>32</v>
      </c>
      <c r="C231">
        <v>22</v>
      </c>
      <c r="D231">
        <v>0.01</v>
      </c>
      <c r="E231">
        <v>7.0000000000000007E-2</v>
      </c>
      <c r="F231">
        <v>12.5</v>
      </c>
      <c r="G231" s="5">
        <v>0</v>
      </c>
      <c r="H231">
        <v>0</v>
      </c>
      <c r="I231">
        <v>1</v>
      </c>
      <c r="J231">
        <v>1.4</v>
      </c>
      <c r="M231">
        <v>1</v>
      </c>
      <c r="N231">
        <v>1</v>
      </c>
      <c r="O231">
        <v>3</v>
      </c>
      <c r="P231" t="s">
        <v>43</v>
      </c>
    </row>
    <row r="232" spans="1:16" x14ac:dyDescent="0.25">
      <c r="A232" s="1">
        <v>44658</v>
      </c>
      <c r="B232">
        <v>32</v>
      </c>
      <c r="C232">
        <v>24</v>
      </c>
      <c r="D232">
        <v>0.02</v>
      </c>
      <c r="E232">
        <v>0.14000000000000001</v>
      </c>
      <c r="F232">
        <v>6.25</v>
      </c>
      <c r="G232" s="5">
        <v>0</v>
      </c>
      <c r="H232">
        <v>0</v>
      </c>
      <c r="I232">
        <v>1.2</v>
      </c>
      <c r="J232">
        <v>1.4</v>
      </c>
      <c r="M232">
        <v>1</v>
      </c>
      <c r="N232">
        <v>1</v>
      </c>
      <c r="O232">
        <v>3</v>
      </c>
      <c r="P232" t="s">
        <v>152</v>
      </c>
    </row>
    <row r="233" spans="1:16" x14ac:dyDescent="0.25">
      <c r="A233" s="1">
        <v>44658</v>
      </c>
      <c r="B233">
        <v>32</v>
      </c>
      <c r="C233">
        <v>25</v>
      </c>
      <c r="D233">
        <v>0.02</v>
      </c>
      <c r="E233">
        <v>0.14000000000000001</v>
      </c>
      <c r="F233">
        <v>6.25</v>
      </c>
      <c r="G233" s="5">
        <v>0</v>
      </c>
      <c r="H233">
        <v>0</v>
      </c>
      <c r="I233">
        <v>1</v>
      </c>
      <c r="J233">
        <v>1.4</v>
      </c>
      <c r="M233">
        <v>1</v>
      </c>
      <c r="N233">
        <v>1</v>
      </c>
      <c r="O233">
        <v>3</v>
      </c>
      <c r="P233" t="s">
        <v>43</v>
      </c>
    </row>
    <row r="234" spans="1:16" x14ac:dyDescent="0.25">
      <c r="A234" s="1">
        <v>44659</v>
      </c>
      <c r="B234">
        <v>33</v>
      </c>
      <c r="C234">
        <v>9</v>
      </c>
      <c r="D234">
        <v>0.01</v>
      </c>
      <c r="E234">
        <v>7.0000000000000007E-2</v>
      </c>
      <c r="F234">
        <v>12.5</v>
      </c>
      <c r="G234" s="5">
        <v>0</v>
      </c>
      <c r="H234">
        <v>0</v>
      </c>
      <c r="I234">
        <v>1.1000000000000001</v>
      </c>
      <c r="J234">
        <v>0.4</v>
      </c>
      <c r="M234">
        <v>2</v>
      </c>
      <c r="N234">
        <v>1</v>
      </c>
      <c r="O234">
        <v>2</v>
      </c>
      <c r="P234" t="s">
        <v>295</v>
      </c>
    </row>
    <row r="235" spans="1:16" x14ac:dyDescent="0.25">
      <c r="A235" s="1">
        <v>44659</v>
      </c>
      <c r="B235">
        <v>33</v>
      </c>
      <c r="C235">
        <v>10</v>
      </c>
      <c r="D235">
        <v>1.4999999999999999E-2</v>
      </c>
      <c r="E235">
        <v>8.5000000000000006E-2</v>
      </c>
      <c r="F235">
        <v>10</v>
      </c>
      <c r="G235" s="5">
        <v>0</v>
      </c>
      <c r="H235">
        <v>-1.5</v>
      </c>
      <c r="I235">
        <v>1.4</v>
      </c>
      <c r="J235">
        <v>0.4</v>
      </c>
      <c r="P235" t="s">
        <v>41</v>
      </c>
    </row>
    <row r="236" spans="1:16" x14ac:dyDescent="0.25">
      <c r="A236" s="1">
        <v>44659</v>
      </c>
      <c r="B236">
        <v>33</v>
      </c>
      <c r="C236">
        <v>11</v>
      </c>
      <c r="D236">
        <v>5.0000000000000001E-3</v>
      </c>
      <c r="E236">
        <v>3.5000000000000003E-2</v>
      </c>
      <c r="F236">
        <v>25</v>
      </c>
      <c r="G236" s="5">
        <v>0</v>
      </c>
      <c r="H236">
        <v>-2</v>
      </c>
      <c r="I236">
        <v>1.3</v>
      </c>
      <c r="J236">
        <v>0.4</v>
      </c>
      <c r="M236">
        <v>2</v>
      </c>
      <c r="N236">
        <v>1</v>
      </c>
      <c r="O236">
        <v>1</v>
      </c>
      <c r="P236" t="s">
        <v>46</v>
      </c>
    </row>
    <row r="237" spans="1:16" x14ac:dyDescent="0.25">
      <c r="A237" s="1">
        <v>44659</v>
      </c>
      <c r="B237">
        <v>33</v>
      </c>
      <c r="C237">
        <v>19</v>
      </c>
      <c r="D237">
        <v>0.01</v>
      </c>
      <c r="E237">
        <v>7.0000000000000007E-2</v>
      </c>
      <c r="F237">
        <v>12.5</v>
      </c>
      <c r="G237" s="5">
        <v>0</v>
      </c>
      <c r="H237">
        <v>-1</v>
      </c>
      <c r="I237">
        <v>1.1000000000000001</v>
      </c>
      <c r="J237">
        <v>0.4</v>
      </c>
      <c r="P237" t="s">
        <v>42</v>
      </c>
    </row>
    <row r="238" spans="1:16" x14ac:dyDescent="0.25">
      <c r="A238" s="1">
        <v>44659</v>
      </c>
      <c r="B238">
        <v>33</v>
      </c>
      <c r="C238">
        <v>20</v>
      </c>
      <c r="D238">
        <v>1.4999999999999999E-2</v>
      </c>
      <c r="E238">
        <v>8.5000000000000006E-2</v>
      </c>
      <c r="F238">
        <v>10</v>
      </c>
      <c r="G238" s="5">
        <v>0</v>
      </c>
      <c r="H238">
        <v>0</v>
      </c>
      <c r="I238">
        <v>1.1000000000000001</v>
      </c>
      <c r="J238">
        <v>0.4</v>
      </c>
      <c r="P238" t="s">
        <v>42</v>
      </c>
    </row>
    <row r="239" spans="1:16" x14ac:dyDescent="0.25">
      <c r="A239" s="1">
        <v>44659</v>
      </c>
      <c r="B239">
        <v>33</v>
      </c>
      <c r="C239">
        <v>21</v>
      </c>
      <c r="D239">
        <v>5.0000000000000001E-3</v>
      </c>
      <c r="E239">
        <v>3.5000000000000003E-2</v>
      </c>
      <c r="F239">
        <v>25</v>
      </c>
      <c r="G239" s="5">
        <v>0</v>
      </c>
      <c r="H239">
        <v>0</v>
      </c>
      <c r="I239">
        <v>1.1000000000000001</v>
      </c>
      <c r="J239">
        <v>0.4</v>
      </c>
      <c r="P239" t="s">
        <v>42</v>
      </c>
    </row>
    <row r="240" spans="1:16" x14ac:dyDescent="0.25">
      <c r="A240" s="1">
        <v>44818</v>
      </c>
      <c r="B240">
        <v>34</v>
      </c>
      <c r="C240">
        <v>11</v>
      </c>
      <c r="D240">
        <v>0.02</v>
      </c>
      <c r="E240">
        <v>0.14000000000000001</v>
      </c>
      <c r="F240">
        <v>6.25</v>
      </c>
      <c r="G240" s="5">
        <v>0</v>
      </c>
      <c r="H240" s="5">
        <v>0</v>
      </c>
      <c r="I240" s="5">
        <v>1.2</v>
      </c>
      <c r="J240">
        <v>1.4</v>
      </c>
      <c r="M240">
        <v>1</v>
      </c>
      <c r="N240">
        <v>2</v>
      </c>
      <c r="O240">
        <v>1</v>
      </c>
      <c r="P240" t="s">
        <v>153</v>
      </c>
    </row>
    <row r="241" spans="1:16" x14ac:dyDescent="0.25">
      <c r="A241" s="1">
        <v>44818</v>
      </c>
      <c r="B241">
        <v>34</v>
      </c>
      <c r="C241">
        <v>12</v>
      </c>
      <c r="D241">
        <v>0.02</v>
      </c>
      <c r="E241">
        <v>0.14000000000000001</v>
      </c>
      <c r="F241">
        <v>6.25</v>
      </c>
      <c r="G241" s="5">
        <v>0</v>
      </c>
      <c r="H241" s="5">
        <v>0</v>
      </c>
      <c r="I241" s="5">
        <v>1.2</v>
      </c>
      <c r="J241">
        <v>1.4</v>
      </c>
      <c r="M241">
        <v>1</v>
      </c>
      <c r="N241">
        <v>2</v>
      </c>
      <c r="P241" t="s">
        <v>47</v>
      </c>
    </row>
    <row r="242" spans="1:16" x14ac:dyDescent="0.25">
      <c r="A242" s="1">
        <v>44818</v>
      </c>
      <c r="B242">
        <v>34</v>
      </c>
      <c r="C242">
        <v>13</v>
      </c>
      <c r="D242">
        <v>0.01</v>
      </c>
      <c r="E242">
        <v>7.0000000000000007E-2</v>
      </c>
      <c r="F242">
        <v>12.5</v>
      </c>
      <c r="G242" s="5">
        <v>0</v>
      </c>
      <c r="H242" s="5">
        <v>0</v>
      </c>
      <c r="I242" s="5">
        <v>1</v>
      </c>
      <c r="J242">
        <v>1</v>
      </c>
      <c r="M242">
        <v>1</v>
      </c>
      <c r="N242">
        <v>2</v>
      </c>
      <c r="O242">
        <v>3</v>
      </c>
      <c r="P242" t="s">
        <v>153</v>
      </c>
    </row>
    <row r="243" spans="1:16" x14ac:dyDescent="0.25">
      <c r="A243" s="1">
        <v>44818</v>
      </c>
      <c r="B243">
        <v>34</v>
      </c>
      <c r="C243">
        <v>14</v>
      </c>
      <c r="D243">
        <v>0.01</v>
      </c>
      <c r="E243">
        <v>7.0000000000000007E-2</v>
      </c>
      <c r="F243">
        <v>12.5</v>
      </c>
      <c r="G243" s="5">
        <v>0</v>
      </c>
      <c r="H243" s="5">
        <v>0</v>
      </c>
      <c r="I243" s="5">
        <v>1</v>
      </c>
      <c r="J243">
        <v>1</v>
      </c>
      <c r="M243">
        <v>1</v>
      </c>
      <c r="N243">
        <v>2</v>
      </c>
      <c r="P243" t="s">
        <v>296</v>
      </c>
    </row>
    <row r="244" spans="1:16" x14ac:dyDescent="0.25">
      <c r="A244" s="1">
        <v>44818</v>
      </c>
      <c r="B244">
        <v>34</v>
      </c>
      <c r="C244">
        <v>15</v>
      </c>
      <c r="D244">
        <v>0.01</v>
      </c>
      <c r="E244">
        <v>7.0000000000000007E-2</v>
      </c>
      <c r="F244">
        <v>12.5</v>
      </c>
      <c r="G244" s="5">
        <v>0</v>
      </c>
      <c r="H244">
        <v>0</v>
      </c>
      <c r="I244">
        <v>1</v>
      </c>
      <c r="J244">
        <v>1</v>
      </c>
      <c r="M244">
        <v>1</v>
      </c>
      <c r="N244">
        <v>2</v>
      </c>
      <c r="P244" t="s">
        <v>46</v>
      </c>
    </row>
    <row r="245" spans="1:16" x14ac:dyDescent="0.25">
      <c r="A245" s="1">
        <v>44818</v>
      </c>
      <c r="B245">
        <v>34</v>
      </c>
      <c r="C245">
        <v>16</v>
      </c>
      <c r="D245">
        <v>0.01</v>
      </c>
      <c r="E245">
        <v>7.0000000000000007E-2</v>
      </c>
      <c r="F245">
        <v>12.5</v>
      </c>
      <c r="G245" s="5">
        <v>0</v>
      </c>
      <c r="H245">
        <v>0</v>
      </c>
      <c r="I245">
        <v>1</v>
      </c>
      <c r="J245">
        <v>1</v>
      </c>
      <c r="M245">
        <v>1</v>
      </c>
      <c r="N245">
        <v>2</v>
      </c>
      <c r="P245" t="s">
        <v>47</v>
      </c>
    </row>
    <row r="246" spans="1:16" x14ac:dyDescent="0.25">
      <c r="A246" s="1">
        <v>44823</v>
      </c>
      <c r="B246">
        <v>35</v>
      </c>
      <c r="C246">
        <v>45</v>
      </c>
      <c r="D246">
        <v>0.02</v>
      </c>
      <c r="E246">
        <v>0.14000000000000001</v>
      </c>
      <c r="F246">
        <v>6.25</v>
      </c>
      <c r="G246" s="5">
        <v>0</v>
      </c>
      <c r="H246">
        <v>0</v>
      </c>
      <c r="I246">
        <v>1.2</v>
      </c>
      <c r="J246">
        <v>1.4</v>
      </c>
      <c r="M246">
        <v>1</v>
      </c>
      <c r="N246">
        <v>2</v>
      </c>
      <c r="O246">
        <v>3</v>
      </c>
      <c r="P246" t="s">
        <v>114</v>
      </c>
    </row>
    <row r="247" spans="1:16" x14ac:dyDescent="0.25">
      <c r="A247" s="1">
        <v>44823</v>
      </c>
      <c r="B247">
        <v>35</v>
      </c>
      <c r="C247">
        <v>46</v>
      </c>
      <c r="D247">
        <v>0.02</v>
      </c>
      <c r="E247">
        <v>0.14000000000000001</v>
      </c>
      <c r="F247">
        <v>6.25</v>
      </c>
      <c r="G247" s="5">
        <v>0</v>
      </c>
      <c r="H247">
        <v>0</v>
      </c>
      <c r="I247">
        <v>1.2</v>
      </c>
      <c r="J247">
        <v>1.4</v>
      </c>
      <c r="M247">
        <v>1</v>
      </c>
      <c r="N247">
        <v>2</v>
      </c>
      <c r="O247">
        <v>3</v>
      </c>
      <c r="P247" t="s">
        <v>109</v>
      </c>
    </row>
    <row r="248" spans="1:16" x14ac:dyDescent="0.25">
      <c r="A248" s="1">
        <v>44823</v>
      </c>
      <c r="B248">
        <v>35</v>
      </c>
      <c r="C248">
        <v>48</v>
      </c>
      <c r="D248">
        <v>0.01</v>
      </c>
      <c r="E248">
        <v>7.0000000000000007E-2</v>
      </c>
      <c r="F248">
        <v>12.5</v>
      </c>
      <c r="G248" s="5">
        <v>0</v>
      </c>
      <c r="H248">
        <v>0</v>
      </c>
      <c r="I248">
        <v>1.1000000000000001</v>
      </c>
      <c r="J248">
        <v>1</v>
      </c>
      <c r="M248">
        <v>1</v>
      </c>
      <c r="N248">
        <v>2</v>
      </c>
      <c r="O248">
        <v>3</v>
      </c>
      <c r="P248" t="s">
        <v>114</v>
      </c>
    </row>
    <row r="249" spans="1:16" x14ac:dyDescent="0.25">
      <c r="A249" s="1">
        <v>44823</v>
      </c>
      <c r="B249">
        <v>35</v>
      </c>
      <c r="C249">
        <v>50</v>
      </c>
      <c r="D249">
        <v>0.01</v>
      </c>
      <c r="E249">
        <v>7.0000000000000007E-2</v>
      </c>
      <c r="F249">
        <v>12.5</v>
      </c>
      <c r="G249" s="5">
        <v>0</v>
      </c>
      <c r="H249">
        <v>0</v>
      </c>
      <c r="I249">
        <v>1.1000000000000001</v>
      </c>
      <c r="J249">
        <v>1</v>
      </c>
      <c r="M249">
        <v>1</v>
      </c>
      <c r="N249">
        <v>2</v>
      </c>
      <c r="O249">
        <v>3</v>
      </c>
      <c r="P249" t="s">
        <v>109</v>
      </c>
    </row>
    <row r="250" spans="1:16" x14ac:dyDescent="0.25">
      <c r="A250" s="1">
        <v>44824</v>
      </c>
      <c r="B250">
        <v>36</v>
      </c>
      <c r="C250">
        <v>41</v>
      </c>
      <c r="D250">
        <v>0.02</v>
      </c>
      <c r="E250">
        <v>0.14000000000000001</v>
      </c>
      <c r="F250">
        <v>6.25</v>
      </c>
      <c r="G250" s="5">
        <v>0</v>
      </c>
      <c r="H250">
        <v>0</v>
      </c>
      <c r="I250">
        <v>1.2</v>
      </c>
      <c r="J250">
        <v>1.4</v>
      </c>
      <c r="M250">
        <v>1</v>
      </c>
      <c r="N250">
        <v>2</v>
      </c>
      <c r="O250">
        <v>1</v>
      </c>
      <c r="P250" t="s">
        <v>114</v>
      </c>
    </row>
    <row r="251" spans="1:16" x14ac:dyDescent="0.25">
      <c r="A251" s="1">
        <v>44824</v>
      </c>
      <c r="B251">
        <v>36</v>
      </c>
      <c r="C251">
        <v>42</v>
      </c>
      <c r="D251">
        <v>0.02</v>
      </c>
      <c r="E251">
        <v>0.14000000000000001</v>
      </c>
      <c r="F251">
        <v>6.25</v>
      </c>
      <c r="G251" s="5">
        <v>0</v>
      </c>
      <c r="H251">
        <v>0</v>
      </c>
      <c r="I251">
        <v>1.2</v>
      </c>
      <c r="J251">
        <v>1.4</v>
      </c>
      <c r="M251">
        <v>1</v>
      </c>
      <c r="N251">
        <v>2</v>
      </c>
      <c r="O251">
        <v>1</v>
      </c>
      <c r="P251" t="s">
        <v>109</v>
      </c>
    </row>
    <row r="252" spans="1:16" x14ac:dyDescent="0.25">
      <c r="A252" s="1">
        <v>44824</v>
      </c>
      <c r="B252">
        <v>36</v>
      </c>
      <c r="C252">
        <v>43</v>
      </c>
      <c r="D252">
        <v>0.01</v>
      </c>
      <c r="E252">
        <v>7.0000000000000007E-2</v>
      </c>
      <c r="F252">
        <v>12.5</v>
      </c>
      <c r="G252" s="5">
        <v>0</v>
      </c>
      <c r="H252">
        <v>0</v>
      </c>
      <c r="I252">
        <v>1.1000000000000001</v>
      </c>
      <c r="J252">
        <v>1</v>
      </c>
      <c r="M252">
        <v>1</v>
      </c>
      <c r="N252">
        <v>2</v>
      </c>
      <c r="O252">
        <v>0.5</v>
      </c>
      <c r="P252" t="s">
        <v>114</v>
      </c>
    </row>
    <row r="253" spans="1:16" x14ac:dyDescent="0.25">
      <c r="A253" s="1">
        <v>44824</v>
      </c>
      <c r="B253">
        <v>36</v>
      </c>
      <c r="C253">
        <v>44</v>
      </c>
      <c r="D253">
        <v>0.01</v>
      </c>
      <c r="E253">
        <v>7.0000000000000007E-2</v>
      </c>
      <c r="F253">
        <v>12.5</v>
      </c>
      <c r="G253" s="5">
        <v>0</v>
      </c>
      <c r="H253">
        <v>0</v>
      </c>
      <c r="I253">
        <v>1.1000000000000001</v>
      </c>
      <c r="J253">
        <v>1</v>
      </c>
      <c r="M253">
        <v>1</v>
      </c>
      <c r="N253">
        <v>2</v>
      </c>
      <c r="O253">
        <v>1</v>
      </c>
      <c r="P253" t="s">
        <v>297</v>
      </c>
    </row>
    <row r="254" spans="1:16" x14ac:dyDescent="0.25">
      <c r="A254" s="1">
        <v>44824</v>
      </c>
      <c r="B254">
        <v>36</v>
      </c>
      <c r="C254">
        <v>45</v>
      </c>
      <c r="D254">
        <v>5.0000000000000001E-3</v>
      </c>
      <c r="E254">
        <v>3.5000000000000003E-2</v>
      </c>
      <c r="F254">
        <v>25</v>
      </c>
      <c r="G254" s="5">
        <v>0</v>
      </c>
      <c r="H254">
        <v>-1</v>
      </c>
      <c r="I254">
        <v>1.2</v>
      </c>
      <c r="J254">
        <v>1</v>
      </c>
      <c r="M254">
        <v>1</v>
      </c>
      <c r="N254">
        <v>2</v>
      </c>
      <c r="O254">
        <v>0.5</v>
      </c>
      <c r="P254" t="s">
        <v>114</v>
      </c>
    </row>
    <row r="255" spans="1:16" x14ac:dyDescent="0.25">
      <c r="A255" s="1">
        <v>44824</v>
      </c>
      <c r="B255">
        <v>36</v>
      </c>
      <c r="C255">
        <v>46</v>
      </c>
      <c r="D255">
        <v>5.0000000000000001E-3</v>
      </c>
      <c r="E255">
        <v>3.5000000000000003E-2</v>
      </c>
      <c r="F255">
        <v>25</v>
      </c>
      <c r="G255" s="5">
        <v>1</v>
      </c>
      <c r="H255">
        <v>0</v>
      </c>
      <c r="I255">
        <v>1.1000000000000001</v>
      </c>
      <c r="J255">
        <v>1</v>
      </c>
      <c r="M255">
        <v>1</v>
      </c>
      <c r="N255">
        <v>2</v>
      </c>
      <c r="O255">
        <v>0.5</v>
      </c>
      <c r="P255" t="s">
        <v>109</v>
      </c>
    </row>
    <row r="256" spans="1:16" x14ac:dyDescent="0.25">
      <c r="A256" s="1">
        <v>44824</v>
      </c>
      <c r="B256">
        <v>36</v>
      </c>
      <c r="C256">
        <v>47</v>
      </c>
      <c r="D256">
        <v>0.1</v>
      </c>
      <c r="E256">
        <v>0.7</v>
      </c>
      <c r="F256">
        <v>1.25</v>
      </c>
      <c r="G256" s="5">
        <v>0</v>
      </c>
      <c r="H256">
        <v>0</v>
      </c>
      <c r="I256">
        <v>0.4</v>
      </c>
      <c r="J256">
        <v>1</v>
      </c>
      <c r="M256">
        <v>1</v>
      </c>
      <c r="N256">
        <v>2</v>
      </c>
      <c r="O256">
        <v>2</v>
      </c>
      <c r="P256" t="s">
        <v>363</v>
      </c>
    </row>
    <row r="257" spans="1:16" x14ac:dyDescent="0.25">
      <c r="A257" s="1">
        <v>44824</v>
      </c>
      <c r="B257">
        <v>36</v>
      </c>
      <c r="C257">
        <v>48</v>
      </c>
      <c r="D257">
        <v>0.1</v>
      </c>
      <c r="E257">
        <v>0.7</v>
      </c>
      <c r="F257">
        <v>1.25</v>
      </c>
      <c r="G257" s="5">
        <v>1</v>
      </c>
      <c r="H257">
        <v>0</v>
      </c>
      <c r="I257">
        <v>0.4</v>
      </c>
      <c r="J257">
        <v>1</v>
      </c>
      <c r="M257">
        <v>1</v>
      </c>
      <c r="N257">
        <v>2</v>
      </c>
      <c r="P257" t="s">
        <v>428</v>
      </c>
    </row>
    <row r="258" spans="1:16" x14ac:dyDescent="0.25">
      <c r="A258" s="1">
        <v>44839</v>
      </c>
      <c r="B258">
        <v>37</v>
      </c>
      <c r="C258">
        <v>9</v>
      </c>
      <c r="D258">
        <v>0.02</v>
      </c>
      <c r="E258">
        <v>0.14000000000000001</v>
      </c>
      <c r="F258">
        <v>6.25</v>
      </c>
      <c r="G258" s="5">
        <v>0</v>
      </c>
      <c r="H258">
        <v>0</v>
      </c>
      <c r="I258">
        <v>1.2</v>
      </c>
      <c r="J258">
        <v>1.4</v>
      </c>
      <c r="M258">
        <v>1</v>
      </c>
      <c r="N258">
        <v>1</v>
      </c>
      <c r="O258">
        <v>4</v>
      </c>
      <c r="P258" t="s">
        <v>114</v>
      </c>
    </row>
    <row r="259" spans="1:16" x14ac:dyDescent="0.25">
      <c r="A259" s="1">
        <v>44839</v>
      </c>
      <c r="B259">
        <v>37</v>
      </c>
      <c r="C259">
        <v>10</v>
      </c>
      <c r="D259">
        <v>0.02</v>
      </c>
      <c r="E259">
        <v>0.14000000000000001</v>
      </c>
      <c r="F259">
        <v>6.25</v>
      </c>
      <c r="G259" s="5">
        <v>0</v>
      </c>
      <c r="H259">
        <v>0</v>
      </c>
      <c r="I259">
        <v>1.2</v>
      </c>
      <c r="J259">
        <v>1.4</v>
      </c>
      <c r="M259">
        <v>1</v>
      </c>
      <c r="N259">
        <v>1</v>
      </c>
      <c r="O259">
        <v>4</v>
      </c>
      <c r="P259" t="s">
        <v>109</v>
      </c>
    </row>
    <row r="260" spans="1:16" x14ac:dyDescent="0.25">
      <c r="A260" s="1">
        <v>44839</v>
      </c>
      <c r="B260">
        <v>37</v>
      </c>
      <c r="C260">
        <v>27</v>
      </c>
      <c r="D260">
        <v>0.1</v>
      </c>
      <c r="E260">
        <v>0.7</v>
      </c>
      <c r="F260">
        <v>1.25</v>
      </c>
      <c r="G260" s="5">
        <v>1</v>
      </c>
      <c r="H260">
        <v>0</v>
      </c>
      <c r="I260">
        <v>0.4</v>
      </c>
      <c r="J260">
        <v>1.5</v>
      </c>
      <c r="M260">
        <v>1</v>
      </c>
      <c r="N260">
        <v>1</v>
      </c>
      <c r="P260" s="7" t="s">
        <v>57</v>
      </c>
    </row>
    <row r="261" spans="1:16" x14ac:dyDescent="0.25">
      <c r="A261" s="1">
        <v>44839</v>
      </c>
      <c r="B261">
        <v>37</v>
      </c>
      <c r="C261">
        <v>28</v>
      </c>
      <c r="D261">
        <v>0.01</v>
      </c>
      <c r="E261">
        <v>7.0000000000000007E-2</v>
      </c>
      <c r="F261">
        <v>12.5</v>
      </c>
      <c r="G261" s="5">
        <v>0</v>
      </c>
      <c r="H261">
        <v>-1</v>
      </c>
      <c r="I261">
        <v>1.1000000000000001</v>
      </c>
      <c r="J261">
        <v>1.4</v>
      </c>
      <c r="M261">
        <v>1</v>
      </c>
      <c r="N261">
        <v>1</v>
      </c>
      <c r="O261">
        <v>2</v>
      </c>
      <c r="P261" t="s">
        <v>114</v>
      </c>
    </row>
    <row r="262" spans="1:16" x14ac:dyDescent="0.25">
      <c r="A262" s="1">
        <v>44839</v>
      </c>
      <c r="B262">
        <v>37</v>
      </c>
      <c r="C262">
        <v>29</v>
      </c>
      <c r="D262">
        <v>0.01</v>
      </c>
      <c r="E262">
        <v>7.0000000000000007E-2</v>
      </c>
      <c r="F262">
        <v>12.5</v>
      </c>
      <c r="G262" s="5">
        <v>0</v>
      </c>
      <c r="H262">
        <v>0</v>
      </c>
      <c r="I262">
        <v>1</v>
      </c>
      <c r="J262">
        <v>1.4</v>
      </c>
      <c r="M262">
        <v>1</v>
      </c>
      <c r="N262">
        <v>1</v>
      </c>
      <c r="O262">
        <v>4</v>
      </c>
      <c r="P262" t="s">
        <v>143</v>
      </c>
    </row>
    <row r="263" spans="1:16" x14ac:dyDescent="0.25">
      <c r="A263" s="1">
        <v>44839</v>
      </c>
      <c r="B263">
        <v>37</v>
      </c>
      <c r="C263">
        <v>30</v>
      </c>
      <c r="D263">
        <v>5.0000000000000001E-3</v>
      </c>
      <c r="E263">
        <v>3.5000000000000003E-2</v>
      </c>
      <c r="F263">
        <v>25</v>
      </c>
      <c r="G263" s="5">
        <v>1</v>
      </c>
      <c r="H263">
        <v>-1</v>
      </c>
      <c r="I263">
        <v>1.2</v>
      </c>
      <c r="J263">
        <v>1.2</v>
      </c>
      <c r="M263">
        <v>1</v>
      </c>
      <c r="N263">
        <v>1</v>
      </c>
      <c r="O263">
        <v>4</v>
      </c>
      <c r="P263" t="s">
        <v>144</v>
      </c>
    </row>
    <row r="264" spans="1:16" x14ac:dyDescent="0.25">
      <c r="A264" s="1">
        <v>44839</v>
      </c>
      <c r="B264">
        <v>37</v>
      </c>
      <c r="C264">
        <v>31</v>
      </c>
      <c r="D264">
        <v>5.0000000000000001E-3</v>
      </c>
      <c r="E264">
        <v>3.5000000000000003E-2</v>
      </c>
      <c r="F264">
        <v>25</v>
      </c>
      <c r="G264" s="5">
        <v>1</v>
      </c>
      <c r="H264">
        <v>0</v>
      </c>
      <c r="I264">
        <v>1.1000000000000001</v>
      </c>
      <c r="J264">
        <v>1.2</v>
      </c>
      <c r="M264">
        <v>1</v>
      </c>
      <c r="N264">
        <v>1</v>
      </c>
      <c r="O264">
        <v>4</v>
      </c>
      <c r="P264" t="s">
        <v>109</v>
      </c>
    </row>
    <row r="265" spans="1:16" x14ac:dyDescent="0.25">
      <c r="A265" s="1">
        <v>44839</v>
      </c>
      <c r="B265">
        <v>38</v>
      </c>
      <c r="C265">
        <v>41</v>
      </c>
      <c r="D265">
        <v>0.02</v>
      </c>
      <c r="E265">
        <v>0.14000000000000001</v>
      </c>
      <c r="F265">
        <v>6.25</v>
      </c>
      <c r="G265" s="5">
        <v>0</v>
      </c>
      <c r="H265">
        <v>0</v>
      </c>
      <c r="I265">
        <v>1.2</v>
      </c>
      <c r="J265">
        <v>1.4</v>
      </c>
      <c r="M265">
        <v>1</v>
      </c>
      <c r="N265">
        <v>1</v>
      </c>
      <c r="O265">
        <v>2</v>
      </c>
      <c r="P265" t="s">
        <v>114</v>
      </c>
    </row>
    <row r="266" spans="1:16" x14ac:dyDescent="0.25">
      <c r="A266" s="1">
        <v>44839</v>
      </c>
      <c r="B266">
        <v>38</v>
      </c>
      <c r="C266">
        <v>42</v>
      </c>
      <c r="D266">
        <v>0.02</v>
      </c>
      <c r="E266">
        <v>0.14000000000000001</v>
      </c>
      <c r="F266">
        <v>6.25</v>
      </c>
      <c r="G266" s="5">
        <v>0</v>
      </c>
      <c r="H266">
        <v>0</v>
      </c>
      <c r="I266">
        <v>1.2</v>
      </c>
      <c r="J266">
        <v>1.4</v>
      </c>
      <c r="M266">
        <v>1</v>
      </c>
      <c r="N266">
        <v>1</v>
      </c>
      <c r="O266">
        <v>2</v>
      </c>
      <c r="P266" t="s">
        <v>109</v>
      </c>
    </row>
    <row r="267" spans="1:16" x14ac:dyDescent="0.25">
      <c r="A267" s="1">
        <v>44839</v>
      </c>
      <c r="B267">
        <v>38</v>
      </c>
      <c r="C267">
        <v>51</v>
      </c>
      <c r="D267">
        <v>0.01</v>
      </c>
      <c r="E267">
        <v>7.0000000000000007E-2</v>
      </c>
      <c r="F267">
        <v>12.5</v>
      </c>
      <c r="G267" s="5">
        <v>0</v>
      </c>
      <c r="H267">
        <v>0</v>
      </c>
      <c r="I267">
        <v>1.1000000000000001</v>
      </c>
      <c r="J267">
        <v>1.4</v>
      </c>
      <c r="M267">
        <v>1</v>
      </c>
      <c r="N267">
        <v>1</v>
      </c>
      <c r="O267">
        <v>2</v>
      </c>
      <c r="P267" t="s">
        <v>114</v>
      </c>
    </row>
    <row r="268" spans="1:16" x14ac:dyDescent="0.25">
      <c r="A268" s="1">
        <v>44839</v>
      </c>
      <c r="B268">
        <v>38</v>
      </c>
      <c r="C268">
        <v>52</v>
      </c>
      <c r="D268">
        <v>0.01</v>
      </c>
      <c r="E268">
        <v>7.0000000000000007E-2</v>
      </c>
      <c r="F268">
        <v>12.5</v>
      </c>
      <c r="G268" s="5">
        <v>0</v>
      </c>
      <c r="H268">
        <v>0</v>
      </c>
      <c r="I268">
        <v>1.1000000000000001</v>
      </c>
      <c r="J268">
        <v>1.4</v>
      </c>
      <c r="M268">
        <v>1</v>
      </c>
      <c r="N268">
        <v>1</v>
      </c>
      <c r="O268">
        <v>2</v>
      </c>
      <c r="P268" t="s">
        <v>297</v>
      </c>
    </row>
    <row r="269" spans="1:16" x14ac:dyDescent="0.25">
      <c r="A269" s="1">
        <v>44839</v>
      </c>
      <c r="B269">
        <v>38</v>
      </c>
      <c r="C269">
        <v>61</v>
      </c>
      <c r="D269">
        <v>5.0000000000000001E-3</v>
      </c>
      <c r="E269">
        <v>3.5000000000000003E-2</v>
      </c>
      <c r="F269">
        <v>25</v>
      </c>
      <c r="G269" s="5">
        <v>1</v>
      </c>
      <c r="H269">
        <v>-1</v>
      </c>
      <c r="I269">
        <v>1.2</v>
      </c>
      <c r="J269">
        <v>1.2</v>
      </c>
      <c r="M269">
        <v>1</v>
      </c>
      <c r="N269">
        <v>1</v>
      </c>
      <c r="O269">
        <v>3</v>
      </c>
      <c r="P269" t="s">
        <v>145</v>
      </c>
    </row>
    <row r="270" spans="1:16" x14ac:dyDescent="0.25">
      <c r="A270" s="1">
        <v>44839</v>
      </c>
      <c r="B270">
        <v>38</v>
      </c>
      <c r="C270">
        <v>62</v>
      </c>
      <c r="D270">
        <v>5.0000000000000001E-3</v>
      </c>
      <c r="E270">
        <v>3.5000000000000003E-2</v>
      </c>
      <c r="F270">
        <v>25</v>
      </c>
      <c r="G270" s="5">
        <v>1</v>
      </c>
      <c r="H270">
        <v>0</v>
      </c>
      <c r="I270">
        <v>1.1000000000000001</v>
      </c>
      <c r="J270">
        <v>1.2</v>
      </c>
      <c r="M270">
        <v>1</v>
      </c>
      <c r="N270">
        <v>1</v>
      </c>
      <c r="O270">
        <v>3</v>
      </c>
      <c r="P270" t="s">
        <v>146</v>
      </c>
    </row>
    <row r="271" spans="1:16" x14ac:dyDescent="0.25">
      <c r="A271" s="1">
        <v>44839</v>
      </c>
      <c r="B271">
        <v>38</v>
      </c>
      <c r="C271">
        <v>63</v>
      </c>
      <c r="D271">
        <v>0.01</v>
      </c>
      <c r="E271">
        <v>7.0000000000000007E-2</v>
      </c>
      <c r="F271">
        <v>12.5</v>
      </c>
      <c r="G271" s="5">
        <v>0</v>
      </c>
      <c r="H271">
        <v>0</v>
      </c>
      <c r="I271">
        <v>1.1000000000000001</v>
      </c>
      <c r="J271">
        <v>1.4</v>
      </c>
      <c r="M271">
        <v>1</v>
      </c>
      <c r="N271">
        <v>1</v>
      </c>
      <c r="P271" t="s">
        <v>48</v>
      </c>
    </row>
    <row r="272" spans="1:16" x14ac:dyDescent="0.25">
      <c r="A272" s="1">
        <v>44839</v>
      </c>
      <c r="B272">
        <v>38</v>
      </c>
      <c r="C272">
        <v>64</v>
      </c>
      <c r="D272">
        <v>0.01</v>
      </c>
      <c r="E272">
        <v>7.0000000000000007E-2</v>
      </c>
      <c r="F272">
        <v>12.5</v>
      </c>
      <c r="G272" s="5">
        <v>0</v>
      </c>
      <c r="H272">
        <v>0</v>
      </c>
      <c r="I272">
        <v>1.1000000000000001</v>
      </c>
      <c r="J272">
        <v>1.4</v>
      </c>
      <c r="M272">
        <v>1</v>
      </c>
      <c r="N272">
        <v>1</v>
      </c>
      <c r="P272" t="s">
        <v>49</v>
      </c>
    </row>
    <row r="273" spans="1:16" x14ac:dyDescent="0.25">
      <c r="A273" s="6">
        <v>44839</v>
      </c>
      <c r="B273">
        <v>38</v>
      </c>
      <c r="C273">
        <v>65</v>
      </c>
      <c r="D273" s="5">
        <v>0.01</v>
      </c>
      <c r="E273" s="5">
        <v>7.0000000000000007E-2</v>
      </c>
      <c r="F273" s="5">
        <v>12.5</v>
      </c>
      <c r="G273" s="5">
        <v>1</v>
      </c>
      <c r="H273" s="5">
        <v>-0.5</v>
      </c>
      <c r="I273" s="5">
        <v>1.1000000000000001</v>
      </c>
      <c r="J273" s="5">
        <v>1.4</v>
      </c>
      <c r="K273">
        <v>1</v>
      </c>
      <c r="L273">
        <v>5</v>
      </c>
      <c r="M273">
        <v>1</v>
      </c>
      <c r="N273">
        <v>1</v>
      </c>
      <c r="O273">
        <v>3</v>
      </c>
      <c r="P273" t="s">
        <v>435</v>
      </c>
    </row>
    <row r="274" spans="1:16" x14ac:dyDescent="0.25">
      <c r="A274" s="6">
        <v>44839</v>
      </c>
      <c r="B274">
        <v>38</v>
      </c>
      <c r="C274">
        <v>66</v>
      </c>
      <c r="D274" s="5">
        <v>0.01</v>
      </c>
      <c r="E274" s="5">
        <v>7.0000000000000007E-2</v>
      </c>
      <c r="F274" s="5">
        <v>12.5</v>
      </c>
      <c r="G274" s="5">
        <v>0</v>
      </c>
      <c r="H274" s="5">
        <v>-0.5</v>
      </c>
      <c r="I274" s="5">
        <v>1.1000000000000001</v>
      </c>
      <c r="J274" s="5">
        <v>1.4</v>
      </c>
      <c r="K274">
        <v>1</v>
      </c>
      <c r="L274">
        <v>10</v>
      </c>
      <c r="M274">
        <v>1</v>
      </c>
      <c r="N274">
        <v>1</v>
      </c>
      <c r="O274">
        <v>3</v>
      </c>
      <c r="P274" t="s">
        <v>438</v>
      </c>
    </row>
    <row r="275" spans="1:16" x14ac:dyDescent="0.25">
      <c r="A275" s="6">
        <v>44839</v>
      </c>
      <c r="B275">
        <v>38</v>
      </c>
      <c r="C275">
        <v>67</v>
      </c>
      <c r="D275" s="5">
        <v>0.01</v>
      </c>
      <c r="E275" s="5">
        <v>7.0000000000000007E-2</v>
      </c>
      <c r="F275" s="5">
        <v>12.5</v>
      </c>
      <c r="G275" s="5">
        <v>1</v>
      </c>
      <c r="H275" s="5">
        <v>-0.5</v>
      </c>
      <c r="I275" s="5">
        <v>1.1000000000000001</v>
      </c>
      <c r="J275" s="5">
        <v>1.4</v>
      </c>
      <c r="K275">
        <v>1</v>
      </c>
      <c r="L275">
        <v>10</v>
      </c>
      <c r="P275" t="s">
        <v>50</v>
      </c>
    </row>
    <row r="276" spans="1:16" x14ac:dyDescent="0.25">
      <c r="A276" s="6">
        <v>44839</v>
      </c>
      <c r="B276">
        <v>38</v>
      </c>
      <c r="C276">
        <v>68</v>
      </c>
      <c r="D276" s="5">
        <v>0.01</v>
      </c>
      <c r="E276" s="5">
        <v>7.0000000000000007E-2</v>
      </c>
      <c r="F276" s="5">
        <v>12.5</v>
      </c>
      <c r="G276" s="5">
        <v>1</v>
      </c>
      <c r="H276" s="5">
        <v>-0.5</v>
      </c>
      <c r="I276" s="5">
        <v>1.1000000000000001</v>
      </c>
      <c r="J276" s="5">
        <v>1.4</v>
      </c>
      <c r="K276">
        <v>1</v>
      </c>
      <c r="L276">
        <v>5</v>
      </c>
      <c r="P276" t="s">
        <v>50</v>
      </c>
    </row>
    <row r="277" spans="1:16" x14ac:dyDescent="0.25">
      <c r="A277" s="1">
        <v>44846</v>
      </c>
      <c r="B277">
        <v>39</v>
      </c>
      <c r="C277">
        <v>11</v>
      </c>
      <c r="D277">
        <v>0.02</v>
      </c>
      <c r="E277">
        <v>0.14000000000000001</v>
      </c>
      <c r="F277">
        <v>6.25</v>
      </c>
      <c r="G277" s="5">
        <v>0</v>
      </c>
      <c r="H277">
        <v>0</v>
      </c>
      <c r="I277">
        <v>1.2</v>
      </c>
      <c r="J277">
        <v>1.2</v>
      </c>
      <c r="M277">
        <v>1</v>
      </c>
      <c r="N277">
        <v>1</v>
      </c>
      <c r="O277">
        <v>3</v>
      </c>
      <c r="P277" t="s">
        <v>110</v>
      </c>
    </row>
    <row r="278" spans="1:16" x14ac:dyDescent="0.25">
      <c r="A278" s="1">
        <v>44846</v>
      </c>
      <c r="B278">
        <v>39</v>
      </c>
      <c r="C278">
        <v>12</v>
      </c>
      <c r="D278">
        <v>0.02</v>
      </c>
      <c r="E278">
        <v>0.14000000000000001</v>
      </c>
      <c r="F278">
        <v>6.25</v>
      </c>
      <c r="G278" s="5">
        <v>0</v>
      </c>
      <c r="H278">
        <v>0</v>
      </c>
      <c r="I278">
        <v>1.2</v>
      </c>
      <c r="J278">
        <v>1.2</v>
      </c>
      <c r="M278">
        <v>1</v>
      </c>
      <c r="N278">
        <v>1</v>
      </c>
      <c r="O278">
        <v>3</v>
      </c>
      <c r="P278" t="s">
        <v>119</v>
      </c>
    </row>
    <row r="279" spans="1:16" x14ac:dyDescent="0.25">
      <c r="A279" s="1">
        <v>44846</v>
      </c>
      <c r="B279">
        <v>39</v>
      </c>
      <c r="C279">
        <v>13</v>
      </c>
      <c r="D279">
        <v>0.02</v>
      </c>
      <c r="E279">
        <v>0.14000000000000001</v>
      </c>
      <c r="F279">
        <v>6.25</v>
      </c>
      <c r="G279" s="5">
        <v>0</v>
      </c>
      <c r="H279">
        <v>0</v>
      </c>
      <c r="I279">
        <v>1</v>
      </c>
      <c r="J279">
        <v>1.4</v>
      </c>
      <c r="M279">
        <v>1</v>
      </c>
      <c r="N279">
        <v>1</v>
      </c>
      <c r="O279">
        <v>3</v>
      </c>
      <c r="P279" t="s">
        <v>53</v>
      </c>
    </row>
    <row r="280" spans="1:16" x14ac:dyDescent="0.25">
      <c r="A280" s="1">
        <v>44846</v>
      </c>
      <c r="B280">
        <v>39</v>
      </c>
      <c r="C280">
        <v>22</v>
      </c>
      <c r="D280">
        <v>0.01</v>
      </c>
      <c r="E280">
        <v>7.0000000000000007E-2</v>
      </c>
      <c r="F280">
        <v>12.5</v>
      </c>
      <c r="G280" s="5">
        <v>0</v>
      </c>
      <c r="H280">
        <v>-0.5</v>
      </c>
      <c r="I280">
        <v>1.1000000000000001</v>
      </c>
      <c r="J280">
        <v>1.4</v>
      </c>
      <c r="M280">
        <v>1</v>
      </c>
      <c r="N280">
        <v>1</v>
      </c>
      <c r="O280">
        <v>3</v>
      </c>
      <c r="P280" t="s">
        <v>298</v>
      </c>
    </row>
    <row r="281" spans="1:16" x14ac:dyDescent="0.25">
      <c r="A281" s="1">
        <v>44846</v>
      </c>
      <c r="B281">
        <v>39</v>
      </c>
      <c r="C281">
        <v>23</v>
      </c>
      <c r="D281">
        <v>0.01</v>
      </c>
      <c r="E281">
        <v>7.0000000000000007E-2</v>
      </c>
      <c r="F281">
        <v>12.5</v>
      </c>
      <c r="G281" s="5">
        <v>0</v>
      </c>
      <c r="H281">
        <v>-0.5</v>
      </c>
      <c r="I281">
        <v>1.1000000000000001</v>
      </c>
      <c r="J281">
        <v>1.4</v>
      </c>
      <c r="M281">
        <v>1</v>
      </c>
      <c r="N281">
        <v>1</v>
      </c>
      <c r="O281">
        <v>3</v>
      </c>
      <c r="P281" t="s">
        <v>115</v>
      </c>
    </row>
    <row r="282" spans="1:16" x14ac:dyDescent="0.25">
      <c r="A282" s="1">
        <v>44846</v>
      </c>
      <c r="B282">
        <v>39</v>
      </c>
      <c r="C282">
        <v>24</v>
      </c>
      <c r="D282">
        <v>0.01</v>
      </c>
      <c r="E282">
        <v>7.0000000000000007E-2</v>
      </c>
      <c r="F282">
        <v>12.5</v>
      </c>
      <c r="G282" s="5">
        <v>0</v>
      </c>
      <c r="H282">
        <v>-0.5</v>
      </c>
      <c r="I282">
        <v>1.1000000000000001</v>
      </c>
      <c r="J282">
        <v>1.4</v>
      </c>
      <c r="M282">
        <v>1</v>
      </c>
      <c r="N282">
        <v>1</v>
      </c>
      <c r="O282">
        <v>3</v>
      </c>
      <c r="P282" t="s">
        <v>54</v>
      </c>
    </row>
    <row r="283" spans="1:16" x14ac:dyDescent="0.25">
      <c r="A283" s="1">
        <v>44846</v>
      </c>
      <c r="B283">
        <v>39</v>
      </c>
      <c r="C283">
        <v>43</v>
      </c>
      <c r="D283">
        <v>0.01</v>
      </c>
      <c r="E283">
        <v>7.0000000000000007E-2</v>
      </c>
      <c r="F283">
        <v>12.5</v>
      </c>
      <c r="G283" s="5">
        <v>0</v>
      </c>
      <c r="H283">
        <v>0</v>
      </c>
      <c r="I283">
        <v>1</v>
      </c>
      <c r="J283">
        <v>1.4</v>
      </c>
      <c r="K283">
        <v>1</v>
      </c>
      <c r="L283">
        <v>10</v>
      </c>
      <c r="M283">
        <v>1</v>
      </c>
      <c r="N283">
        <v>1</v>
      </c>
      <c r="O283">
        <v>3</v>
      </c>
      <c r="P283" t="s">
        <v>439</v>
      </c>
    </row>
    <row r="284" spans="1:16" x14ac:dyDescent="0.25">
      <c r="A284" s="1">
        <v>44846</v>
      </c>
      <c r="B284">
        <v>40</v>
      </c>
      <c r="C284">
        <v>52</v>
      </c>
      <c r="D284">
        <v>0.02</v>
      </c>
      <c r="E284">
        <v>0.14000000000000001</v>
      </c>
      <c r="F284">
        <v>6.25</v>
      </c>
      <c r="G284" s="5">
        <v>0</v>
      </c>
      <c r="H284">
        <v>0</v>
      </c>
      <c r="I284">
        <v>1.2</v>
      </c>
      <c r="J284">
        <v>1.2</v>
      </c>
      <c r="M284">
        <v>1</v>
      </c>
      <c r="N284">
        <v>1</v>
      </c>
      <c r="O284">
        <v>3</v>
      </c>
      <c r="P284" t="s">
        <v>110</v>
      </c>
    </row>
    <row r="285" spans="1:16" x14ac:dyDescent="0.25">
      <c r="A285" s="1">
        <v>44846</v>
      </c>
      <c r="B285">
        <v>40</v>
      </c>
      <c r="C285">
        <v>53</v>
      </c>
      <c r="D285">
        <v>0.02</v>
      </c>
      <c r="E285">
        <v>0.14000000000000001</v>
      </c>
      <c r="F285">
        <v>6.25</v>
      </c>
      <c r="G285" s="5">
        <v>0</v>
      </c>
      <c r="H285">
        <v>0</v>
      </c>
      <c r="I285">
        <v>1.2</v>
      </c>
      <c r="J285">
        <v>1.2</v>
      </c>
      <c r="M285">
        <v>1</v>
      </c>
      <c r="N285">
        <v>1</v>
      </c>
      <c r="O285">
        <v>3</v>
      </c>
      <c r="P285" t="s">
        <v>119</v>
      </c>
    </row>
    <row r="286" spans="1:16" x14ac:dyDescent="0.25">
      <c r="A286" s="1">
        <v>44846</v>
      </c>
      <c r="B286">
        <v>40</v>
      </c>
      <c r="C286">
        <v>54</v>
      </c>
      <c r="D286">
        <v>0.02</v>
      </c>
      <c r="E286">
        <v>0.14000000000000001</v>
      </c>
      <c r="F286">
        <v>6.25</v>
      </c>
      <c r="G286" s="5">
        <v>0</v>
      </c>
      <c r="H286">
        <v>0</v>
      </c>
      <c r="I286">
        <v>1</v>
      </c>
      <c r="J286">
        <v>1.4</v>
      </c>
      <c r="M286">
        <v>1</v>
      </c>
      <c r="N286">
        <v>1</v>
      </c>
      <c r="O286">
        <v>3</v>
      </c>
      <c r="P286" t="s">
        <v>53</v>
      </c>
    </row>
    <row r="287" spans="1:16" x14ac:dyDescent="0.25">
      <c r="A287" s="1">
        <v>44846</v>
      </c>
      <c r="B287">
        <v>40</v>
      </c>
      <c r="C287">
        <v>63</v>
      </c>
      <c r="D287">
        <v>0.01</v>
      </c>
      <c r="E287">
        <v>7.0000000000000007E-2</v>
      </c>
      <c r="F287">
        <v>12.5</v>
      </c>
      <c r="G287" s="5">
        <v>0</v>
      </c>
      <c r="H287">
        <v>-0.5</v>
      </c>
      <c r="I287">
        <v>1.1000000000000001</v>
      </c>
      <c r="J287">
        <v>1.4</v>
      </c>
      <c r="M287">
        <v>1</v>
      </c>
      <c r="N287">
        <v>1</v>
      </c>
      <c r="O287">
        <v>3</v>
      </c>
      <c r="P287" t="s">
        <v>298</v>
      </c>
    </row>
    <row r="288" spans="1:16" x14ac:dyDescent="0.25">
      <c r="A288" s="1">
        <v>44846</v>
      </c>
      <c r="B288">
        <v>40</v>
      </c>
      <c r="C288">
        <v>64</v>
      </c>
      <c r="D288">
        <v>0.01</v>
      </c>
      <c r="E288">
        <v>7.0000000000000007E-2</v>
      </c>
      <c r="F288">
        <v>12.5</v>
      </c>
      <c r="G288" s="5">
        <v>0</v>
      </c>
      <c r="H288">
        <v>-0.5</v>
      </c>
      <c r="I288">
        <v>1.1000000000000001</v>
      </c>
      <c r="J288">
        <v>1.4</v>
      </c>
      <c r="M288">
        <v>1</v>
      </c>
      <c r="N288">
        <v>1</v>
      </c>
      <c r="O288">
        <v>3</v>
      </c>
      <c r="P288" t="s">
        <v>115</v>
      </c>
    </row>
    <row r="289" spans="1:16" x14ac:dyDescent="0.25">
      <c r="A289" s="1">
        <v>44846</v>
      </c>
      <c r="B289">
        <v>40</v>
      </c>
      <c r="C289">
        <v>65</v>
      </c>
      <c r="D289">
        <v>0.01</v>
      </c>
      <c r="E289">
        <v>7.0000000000000007E-2</v>
      </c>
      <c r="F289">
        <v>12.5</v>
      </c>
      <c r="G289" s="5">
        <v>0</v>
      </c>
      <c r="H289">
        <v>0</v>
      </c>
      <c r="I289">
        <v>1</v>
      </c>
      <c r="J289">
        <v>1.4</v>
      </c>
      <c r="M289">
        <v>1</v>
      </c>
      <c r="N289">
        <v>1</v>
      </c>
      <c r="O289">
        <v>3</v>
      </c>
      <c r="P289" t="s">
        <v>54</v>
      </c>
    </row>
    <row r="290" spans="1:16" x14ac:dyDescent="0.25">
      <c r="A290" s="1">
        <v>44846</v>
      </c>
      <c r="B290">
        <v>40</v>
      </c>
      <c r="C290">
        <v>78</v>
      </c>
      <c r="D290">
        <v>0.01</v>
      </c>
      <c r="E290">
        <v>7.0000000000000007E-2</v>
      </c>
      <c r="F290">
        <v>12.5</v>
      </c>
      <c r="G290" s="5">
        <v>0</v>
      </c>
      <c r="H290">
        <v>-0.5</v>
      </c>
      <c r="I290">
        <v>1.1000000000000001</v>
      </c>
      <c r="J290">
        <v>0.6</v>
      </c>
      <c r="K290">
        <v>1</v>
      </c>
      <c r="L290">
        <v>10</v>
      </c>
      <c r="M290">
        <v>1</v>
      </c>
      <c r="N290">
        <v>1</v>
      </c>
      <c r="O290">
        <v>3</v>
      </c>
      <c r="P290" t="s">
        <v>439</v>
      </c>
    </row>
    <row r="291" spans="1:16" x14ac:dyDescent="0.25">
      <c r="A291" s="1">
        <v>44853</v>
      </c>
      <c r="B291">
        <v>41</v>
      </c>
      <c r="C291">
        <v>17</v>
      </c>
      <c r="D291">
        <v>0.02</v>
      </c>
      <c r="E291">
        <v>0.14000000000000001</v>
      </c>
      <c r="F291">
        <v>6.25</v>
      </c>
      <c r="G291" s="5">
        <v>0</v>
      </c>
      <c r="H291">
        <v>0</v>
      </c>
      <c r="I291">
        <v>1.2</v>
      </c>
      <c r="J291">
        <v>1.2</v>
      </c>
      <c r="M291">
        <v>1</v>
      </c>
      <c r="N291">
        <v>1</v>
      </c>
      <c r="O291">
        <v>3</v>
      </c>
      <c r="P291" t="s">
        <v>110</v>
      </c>
    </row>
    <row r="292" spans="1:16" x14ac:dyDescent="0.25">
      <c r="A292" s="1">
        <v>44853</v>
      </c>
      <c r="B292">
        <v>41</v>
      </c>
      <c r="C292">
        <v>18</v>
      </c>
      <c r="D292">
        <v>0.02</v>
      </c>
      <c r="E292">
        <v>0.14000000000000001</v>
      </c>
      <c r="F292">
        <v>6.25</v>
      </c>
      <c r="G292" s="5">
        <v>0</v>
      </c>
      <c r="H292">
        <v>0</v>
      </c>
      <c r="I292">
        <v>1.2</v>
      </c>
      <c r="J292">
        <v>1.2</v>
      </c>
      <c r="M292">
        <v>1</v>
      </c>
      <c r="N292">
        <v>1</v>
      </c>
      <c r="O292">
        <v>3</v>
      </c>
      <c r="P292" t="s">
        <v>119</v>
      </c>
    </row>
    <row r="293" spans="1:16" x14ac:dyDescent="0.25">
      <c r="A293" s="1">
        <v>44853</v>
      </c>
      <c r="B293">
        <v>41</v>
      </c>
      <c r="C293">
        <v>19</v>
      </c>
      <c r="D293">
        <v>0.02</v>
      </c>
      <c r="E293">
        <v>0.14000000000000001</v>
      </c>
      <c r="F293">
        <v>6.25</v>
      </c>
      <c r="G293" s="5">
        <v>0</v>
      </c>
      <c r="H293">
        <v>0</v>
      </c>
      <c r="I293">
        <v>1</v>
      </c>
      <c r="J293">
        <v>1.4</v>
      </c>
      <c r="M293">
        <v>1</v>
      </c>
      <c r="N293">
        <v>1</v>
      </c>
      <c r="O293">
        <v>4</v>
      </c>
      <c r="P293" t="s">
        <v>53</v>
      </c>
    </row>
    <row r="294" spans="1:16" x14ac:dyDescent="0.25">
      <c r="A294" s="1">
        <v>44853</v>
      </c>
      <c r="B294">
        <v>41</v>
      </c>
      <c r="C294">
        <v>29</v>
      </c>
      <c r="D294">
        <v>0.01</v>
      </c>
      <c r="E294">
        <v>7.0000000000000007E-2</v>
      </c>
      <c r="F294">
        <v>12.5</v>
      </c>
      <c r="G294" s="5">
        <v>0</v>
      </c>
      <c r="H294">
        <v>-0.5</v>
      </c>
      <c r="I294">
        <v>1.1000000000000001</v>
      </c>
      <c r="J294">
        <v>1.4</v>
      </c>
      <c r="M294">
        <v>1</v>
      </c>
      <c r="N294">
        <v>1</v>
      </c>
      <c r="O294">
        <v>4</v>
      </c>
      <c r="P294" t="s">
        <v>298</v>
      </c>
    </row>
    <row r="295" spans="1:16" x14ac:dyDescent="0.25">
      <c r="A295" s="1">
        <v>44853</v>
      </c>
      <c r="B295">
        <v>41</v>
      </c>
      <c r="C295">
        <v>30</v>
      </c>
      <c r="D295">
        <v>0.01</v>
      </c>
      <c r="E295">
        <v>7.0000000000000007E-2</v>
      </c>
      <c r="F295">
        <v>12.5</v>
      </c>
      <c r="G295" s="5">
        <v>0</v>
      </c>
      <c r="H295">
        <v>-0.5</v>
      </c>
      <c r="I295">
        <v>1.1000000000000001</v>
      </c>
      <c r="J295">
        <v>1.4</v>
      </c>
      <c r="M295">
        <v>1</v>
      </c>
      <c r="N295">
        <v>1</v>
      </c>
      <c r="O295">
        <v>3</v>
      </c>
      <c r="P295" t="s">
        <v>115</v>
      </c>
    </row>
    <row r="296" spans="1:16" x14ac:dyDescent="0.25">
      <c r="A296" s="1">
        <v>44853</v>
      </c>
      <c r="B296">
        <v>41</v>
      </c>
      <c r="C296">
        <v>31</v>
      </c>
      <c r="D296">
        <v>0.01</v>
      </c>
      <c r="E296">
        <v>7.0000000000000007E-2</v>
      </c>
      <c r="F296">
        <v>12.5</v>
      </c>
      <c r="G296" s="5">
        <v>0</v>
      </c>
      <c r="H296">
        <v>0</v>
      </c>
      <c r="I296">
        <v>1</v>
      </c>
      <c r="J296">
        <v>1.4</v>
      </c>
      <c r="M296">
        <v>1</v>
      </c>
      <c r="N296">
        <v>1</v>
      </c>
      <c r="O296">
        <v>4</v>
      </c>
      <c r="P296" t="s">
        <v>54</v>
      </c>
    </row>
    <row r="297" spans="1:16" x14ac:dyDescent="0.25">
      <c r="A297" s="1">
        <v>44853</v>
      </c>
      <c r="B297">
        <v>41</v>
      </c>
      <c r="C297">
        <v>44</v>
      </c>
      <c r="D297">
        <v>0.02</v>
      </c>
      <c r="E297">
        <v>0.14000000000000001</v>
      </c>
      <c r="F297">
        <v>6.25</v>
      </c>
      <c r="G297" s="5">
        <v>0</v>
      </c>
      <c r="H297">
        <v>0</v>
      </c>
      <c r="I297">
        <v>1</v>
      </c>
      <c r="J297">
        <v>0.8</v>
      </c>
      <c r="K297">
        <v>1</v>
      </c>
      <c r="L297">
        <v>10</v>
      </c>
      <c r="M297">
        <v>1</v>
      </c>
      <c r="N297">
        <v>1</v>
      </c>
      <c r="O297">
        <v>4</v>
      </c>
      <c r="P297" t="s">
        <v>439</v>
      </c>
    </row>
    <row r="298" spans="1:16" x14ac:dyDescent="0.25">
      <c r="A298" s="1">
        <v>44853</v>
      </c>
      <c r="B298">
        <v>42</v>
      </c>
      <c r="C298">
        <v>62</v>
      </c>
      <c r="D298">
        <v>0.02</v>
      </c>
      <c r="E298">
        <v>0.14000000000000001</v>
      </c>
      <c r="F298">
        <v>6.25</v>
      </c>
      <c r="G298" s="5">
        <v>0</v>
      </c>
      <c r="H298">
        <v>0</v>
      </c>
      <c r="I298">
        <v>1.2</v>
      </c>
      <c r="J298">
        <v>1.2</v>
      </c>
      <c r="M298">
        <v>1</v>
      </c>
      <c r="N298">
        <v>1</v>
      </c>
      <c r="O298">
        <v>1</v>
      </c>
      <c r="P298" t="s">
        <v>110</v>
      </c>
    </row>
    <row r="299" spans="1:16" x14ac:dyDescent="0.25">
      <c r="A299" s="1">
        <v>44853</v>
      </c>
      <c r="B299">
        <v>42</v>
      </c>
      <c r="C299">
        <v>63</v>
      </c>
      <c r="D299">
        <v>0.02</v>
      </c>
      <c r="E299">
        <v>0.14000000000000001</v>
      </c>
      <c r="F299">
        <v>6.25</v>
      </c>
      <c r="G299" s="5">
        <v>0</v>
      </c>
      <c r="H299">
        <v>0</v>
      </c>
      <c r="I299">
        <v>1.2</v>
      </c>
      <c r="J299">
        <v>1.2</v>
      </c>
      <c r="M299">
        <v>1</v>
      </c>
      <c r="N299">
        <v>1</v>
      </c>
      <c r="O299">
        <v>2.5</v>
      </c>
      <c r="P299" t="s">
        <v>119</v>
      </c>
    </row>
    <row r="300" spans="1:16" x14ac:dyDescent="0.25">
      <c r="A300" s="1">
        <v>44853</v>
      </c>
      <c r="B300">
        <v>42</v>
      </c>
      <c r="C300">
        <v>64</v>
      </c>
      <c r="D300">
        <v>0.02</v>
      </c>
      <c r="E300">
        <v>0.14000000000000001</v>
      </c>
      <c r="F300">
        <v>6.25</v>
      </c>
      <c r="G300" s="5">
        <v>0</v>
      </c>
      <c r="H300">
        <v>0</v>
      </c>
      <c r="I300">
        <v>1</v>
      </c>
      <c r="J300">
        <v>1.4</v>
      </c>
      <c r="M300">
        <v>1</v>
      </c>
      <c r="N300">
        <v>1</v>
      </c>
      <c r="O300">
        <v>2</v>
      </c>
      <c r="P300" t="s">
        <v>53</v>
      </c>
    </row>
    <row r="301" spans="1:16" x14ac:dyDescent="0.25">
      <c r="A301" s="1">
        <v>44853</v>
      </c>
      <c r="B301">
        <v>42</v>
      </c>
      <c r="C301">
        <v>73</v>
      </c>
      <c r="D301">
        <v>0.01</v>
      </c>
      <c r="E301">
        <v>7.0000000000000007E-2</v>
      </c>
      <c r="F301">
        <v>12.5</v>
      </c>
      <c r="G301" s="5">
        <v>0</v>
      </c>
      <c r="H301">
        <v>-0.5</v>
      </c>
      <c r="I301">
        <v>1.1000000000000001</v>
      </c>
      <c r="J301">
        <v>1.4</v>
      </c>
      <c r="M301">
        <v>1</v>
      </c>
      <c r="N301">
        <v>1</v>
      </c>
      <c r="O301">
        <v>0.5</v>
      </c>
      <c r="P301" t="s">
        <v>298</v>
      </c>
    </row>
    <row r="302" spans="1:16" x14ac:dyDescent="0.25">
      <c r="A302" s="1">
        <v>44853</v>
      </c>
      <c r="B302">
        <v>42</v>
      </c>
      <c r="C302">
        <v>74</v>
      </c>
      <c r="D302">
        <v>0.01</v>
      </c>
      <c r="E302">
        <v>7.0000000000000007E-2</v>
      </c>
      <c r="F302">
        <v>12.5</v>
      </c>
      <c r="G302" s="5">
        <v>0</v>
      </c>
      <c r="H302">
        <v>-0.5</v>
      </c>
      <c r="I302">
        <v>1.1000000000000001</v>
      </c>
      <c r="J302">
        <v>1.4</v>
      </c>
      <c r="M302">
        <v>1</v>
      </c>
      <c r="N302">
        <v>1</v>
      </c>
      <c r="O302">
        <v>2</v>
      </c>
      <c r="P302" t="s">
        <v>115</v>
      </c>
    </row>
    <row r="303" spans="1:16" x14ac:dyDescent="0.25">
      <c r="A303" s="1">
        <v>44853</v>
      </c>
      <c r="B303">
        <v>42</v>
      </c>
      <c r="C303">
        <v>75</v>
      </c>
      <c r="D303">
        <v>0.01</v>
      </c>
      <c r="E303">
        <v>7.0000000000000007E-2</v>
      </c>
      <c r="F303">
        <v>12.5</v>
      </c>
      <c r="G303" s="5">
        <v>0</v>
      </c>
      <c r="H303">
        <v>0</v>
      </c>
      <c r="I303">
        <v>1</v>
      </c>
      <c r="J303">
        <v>1.4</v>
      </c>
      <c r="M303">
        <v>1</v>
      </c>
      <c r="N303">
        <v>1</v>
      </c>
      <c r="O303">
        <v>2</v>
      </c>
      <c r="P303" t="s">
        <v>54</v>
      </c>
    </row>
    <row r="304" spans="1:16" x14ac:dyDescent="0.25">
      <c r="A304" s="1">
        <v>44853</v>
      </c>
      <c r="B304">
        <v>43</v>
      </c>
      <c r="C304">
        <v>88</v>
      </c>
      <c r="D304">
        <v>0.02</v>
      </c>
      <c r="E304">
        <v>0.14000000000000001</v>
      </c>
      <c r="F304">
        <v>6.25</v>
      </c>
      <c r="G304" s="5">
        <v>0</v>
      </c>
      <c r="H304">
        <v>0</v>
      </c>
      <c r="I304">
        <v>1.2</v>
      </c>
      <c r="J304">
        <v>1.2</v>
      </c>
      <c r="M304">
        <v>1</v>
      </c>
      <c r="N304">
        <v>1</v>
      </c>
      <c r="O304">
        <v>2.5</v>
      </c>
      <c r="P304" t="s">
        <v>110</v>
      </c>
    </row>
    <row r="305" spans="1:16" x14ac:dyDescent="0.25">
      <c r="A305" s="1">
        <v>44853</v>
      </c>
      <c r="B305">
        <v>43</v>
      </c>
      <c r="C305">
        <v>89</v>
      </c>
      <c r="D305">
        <v>0.02</v>
      </c>
      <c r="E305">
        <v>0.14000000000000001</v>
      </c>
      <c r="F305">
        <v>6.25</v>
      </c>
      <c r="G305" s="5">
        <v>0</v>
      </c>
      <c r="H305">
        <v>0</v>
      </c>
      <c r="I305">
        <v>1.2</v>
      </c>
      <c r="J305">
        <v>1.2</v>
      </c>
      <c r="M305">
        <v>1</v>
      </c>
      <c r="N305">
        <v>1</v>
      </c>
      <c r="O305">
        <v>2</v>
      </c>
      <c r="P305" t="s">
        <v>119</v>
      </c>
    </row>
    <row r="306" spans="1:16" x14ac:dyDescent="0.25">
      <c r="A306" s="1">
        <v>44853</v>
      </c>
      <c r="B306">
        <v>43</v>
      </c>
      <c r="C306">
        <v>90</v>
      </c>
      <c r="D306">
        <v>0.02</v>
      </c>
      <c r="E306">
        <v>0.14000000000000001</v>
      </c>
      <c r="F306">
        <v>6.25</v>
      </c>
      <c r="G306" s="5">
        <v>0</v>
      </c>
      <c r="H306">
        <v>0</v>
      </c>
      <c r="I306">
        <v>1.1000000000000001</v>
      </c>
      <c r="J306">
        <v>1.4</v>
      </c>
      <c r="M306">
        <v>1</v>
      </c>
      <c r="N306">
        <v>1</v>
      </c>
      <c r="O306">
        <v>2</v>
      </c>
      <c r="P306" t="s">
        <v>53</v>
      </c>
    </row>
    <row r="307" spans="1:16" x14ac:dyDescent="0.25">
      <c r="A307" s="1">
        <v>44853</v>
      </c>
      <c r="B307">
        <v>43</v>
      </c>
      <c r="C307">
        <v>91</v>
      </c>
      <c r="D307">
        <v>0.01</v>
      </c>
      <c r="E307">
        <v>7.0000000000000007E-2</v>
      </c>
      <c r="F307">
        <v>12.5</v>
      </c>
      <c r="G307" s="5">
        <v>0</v>
      </c>
      <c r="H307">
        <v>-0.5</v>
      </c>
      <c r="I307">
        <v>1.1000000000000001</v>
      </c>
      <c r="J307">
        <v>1.4</v>
      </c>
      <c r="M307">
        <v>1</v>
      </c>
      <c r="N307">
        <v>1</v>
      </c>
      <c r="O307">
        <v>2</v>
      </c>
      <c r="P307" t="s">
        <v>298</v>
      </c>
    </row>
    <row r="308" spans="1:16" x14ac:dyDescent="0.25">
      <c r="A308" s="1">
        <v>44853</v>
      </c>
      <c r="B308">
        <v>43</v>
      </c>
      <c r="C308">
        <v>92</v>
      </c>
      <c r="D308">
        <v>0.01</v>
      </c>
      <c r="E308">
        <v>7.0000000000000007E-2</v>
      </c>
      <c r="F308">
        <v>12.5</v>
      </c>
      <c r="G308" s="5">
        <v>0</v>
      </c>
      <c r="H308">
        <v>-0.5</v>
      </c>
      <c r="I308">
        <v>1.1000000000000001</v>
      </c>
      <c r="J308">
        <v>1.4</v>
      </c>
      <c r="M308">
        <v>1</v>
      </c>
      <c r="N308">
        <v>1</v>
      </c>
      <c r="O308">
        <v>2</v>
      </c>
      <c r="P308" t="s">
        <v>115</v>
      </c>
    </row>
    <row r="309" spans="1:16" x14ac:dyDescent="0.25">
      <c r="A309" s="1">
        <v>44853</v>
      </c>
      <c r="B309">
        <v>43</v>
      </c>
      <c r="C309">
        <v>93</v>
      </c>
      <c r="D309">
        <v>0.01</v>
      </c>
      <c r="E309">
        <v>7.0000000000000007E-2</v>
      </c>
      <c r="F309">
        <v>12.5</v>
      </c>
      <c r="G309" s="5">
        <v>0</v>
      </c>
      <c r="H309">
        <v>0</v>
      </c>
      <c r="I309">
        <v>1</v>
      </c>
      <c r="J309">
        <v>1.4</v>
      </c>
      <c r="M309">
        <v>1</v>
      </c>
      <c r="N309">
        <v>1</v>
      </c>
      <c r="O309">
        <v>2</v>
      </c>
      <c r="P309" t="s">
        <v>54</v>
      </c>
    </row>
    <row r="310" spans="1:16" x14ac:dyDescent="0.25">
      <c r="A310" s="1">
        <v>44862</v>
      </c>
      <c r="B310">
        <v>44</v>
      </c>
      <c r="C310">
        <v>2</v>
      </c>
      <c r="D310">
        <v>0.01</v>
      </c>
      <c r="E310">
        <v>7.0000000000000007E-2</v>
      </c>
      <c r="F310">
        <v>12.5</v>
      </c>
      <c r="G310" s="5">
        <v>0</v>
      </c>
      <c r="H310">
        <v>-0.5</v>
      </c>
      <c r="I310">
        <v>1.1000000000000001</v>
      </c>
      <c r="J310">
        <v>1.4</v>
      </c>
      <c r="M310">
        <v>1</v>
      </c>
      <c r="N310">
        <v>1</v>
      </c>
      <c r="O310">
        <v>0.25</v>
      </c>
      <c r="P310" t="s">
        <v>298</v>
      </c>
    </row>
    <row r="311" spans="1:16" x14ac:dyDescent="0.25">
      <c r="A311" s="1">
        <v>44862</v>
      </c>
      <c r="B311">
        <v>44</v>
      </c>
      <c r="C311">
        <v>3</v>
      </c>
      <c r="D311">
        <v>0.01</v>
      </c>
      <c r="E311">
        <v>7.0000000000000007E-2</v>
      </c>
      <c r="F311">
        <v>12.5</v>
      </c>
      <c r="G311" s="5">
        <v>0</v>
      </c>
      <c r="H311">
        <v>-0.5</v>
      </c>
      <c r="I311">
        <v>1.1000000000000001</v>
      </c>
      <c r="J311">
        <v>1.4</v>
      </c>
      <c r="M311">
        <v>1</v>
      </c>
      <c r="N311">
        <v>1</v>
      </c>
      <c r="O311">
        <v>2</v>
      </c>
      <c r="P311" t="s">
        <v>116</v>
      </c>
    </row>
    <row r="312" spans="1:16" x14ac:dyDescent="0.25">
      <c r="A312" s="1">
        <v>44862</v>
      </c>
      <c r="B312">
        <v>44</v>
      </c>
      <c r="C312">
        <v>4</v>
      </c>
      <c r="D312">
        <v>0.01</v>
      </c>
      <c r="E312">
        <v>7.0000000000000007E-2</v>
      </c>
      <c r="F312">
        <v>12.5</v>
      </c>
      <c r="G312" s="5">
        <v>0</v>
      </c>
      <c r="H312">
        <v>-0.5</v>
      </c>
      <c r="I312">
        <v>1.1000000000000001</v>
      </c>
      <c r="J312">
        <v>1.4</v>
      </c>
      <c r="M312">
        <v>1</v>
      </c>
      <c r="N312">
        <v>1</v>
      </c>
      <c r="O312">
        <v>2</v>
      </c>
      <c r="P312" t="s">
        <v>339</v>
      </c>
    </row>
    <row r="313" spans="1:16" x14ac:dyDescent="0.25">
      <c r="A313" s="1">
        <v>44862</v>
      </c>
      <c r="B313">
        <v>44</v>
      </c>
      <c r="C313">
        <v>5</v>
      </c>
      <c r="D313">
        <v>0.01</v>
      </c>
      <c r="E313">
        <v>7.0000000000000007E-2</v>
      </c>
      <c r="F313">
        <v>12.5</v>
      </c>
      <c r="G313" s="5">
        <v>0</v>
      </c>
      <c r="H313">
        <v>-0.5</v>
      </c>
      <c r="I313">
        <v>1.1000000000000001</v>
      </c>
      <c r="J313">
        <v>1.4</v>
      </c>
      <c r="M313">
        <v>1</v>
      </c>
      <c r="N313">
        <v>1</v>
      </c>
      <c r="O313">
        <v>2</v>
      </c>
      <c r="P313" t="s">
        <v>340</v>
      </c>
    </row>
    <row r="314" spans="1:16" x14ac:dyDescent="0.25">
      <c r="A314" s="1">
        <v>44862</v>
      </c>
      <c r="B314">
        <v>44</v>
      </c>
      <c r="C314">
        <v>6</v>
      </c>
      <c r="D314">
        <v>0.01</v>
      </c>
      <c r="E314">
        <v>7.0000000000000007E-2</v>
      </c>
      <c r="F314">
        <v>12.5</v>
      </c>
      <c r="G314" s="5">
        <v>0</v>
      </c>
      <c r="H314">
        <v>-0.5</v>
      </c>
      <c r="I314">
        <v>1.1000000000000001</v>
      </c>
      <c r="J314">
        <v>1.4</v>
      </c>
      <c r="M314">
        <v>1</v>
      </c>
      <c r="N314">
        <v>1</v>
      </c>
      <c r="O314">
        <v>3</v>
      </c>
      <c r="P314" t="s">
        <v>341</v>
      </c>
    </row>
    <row r="315" spans="1:16" x14ac:dyDescent="0.25">
      <c r="A315" s="1">
        <v>44862</v>
      </c>
      <c r="B315">
        <v>44</v>
      </c>
      <c r="C315">
        <v>8</v>
      </c>
      <c r="D315">
        <v>0.01</v>
      </c>
      <c r="E315">
        <v>7.0000000000000007E-2</v>
      </c>
      <c r="F315">
        <v>12.5</v>
      </c>
      <c r="G315" s="5">
        <v>0</v>
      </c>
      <c r="H315">
        <v>-1.5</v>
      </c>
      <c r="I315">
        <v>1.1000000000000001</v>
      </c>
      <c r="J315">
        <v>1.4</v>
      </c>
      <c r="M315">
        <v>1</v>
      </c>
      <c r="N315">
        <v>1</v>
      </c>
      <c r="O315">
        <v>1.5</v>
      </c>
      <c r="P315" t="s">
        <v>59</v>
      </c>
    </row>
    <row r="316" spans="1:16" x14ac:dyDescent="0.25">
      <c r="A316" s="1">
        <v>44862</v>
      </c>
      <c r="B316">
        <v>44</v>
      </c>
      <c r="C316">
        <v>9</v>
      </c>
      <c r="D316">
        <v>0.01</v>
      </c>
      <c r="E316">
        <v>7.0000000000000007E-2</v>
      </c>
      <c r="F316">
        <v>12.5</v>
      </c>
      <c r="G316" s="5">
        <v>0</v>
      </c>
      <c r="H316">
        <v>-1.5</v>
      </c>
      <c r="I316">
        <v>1.1000000000000001</v>
      </c>
      <c r="J316">
        <v>0.6</v>
      </c>
      <c r="M316">
        <v>1</v>
      </c>
      <c r="N316">
        <v>1</v>
      </c>
      <c r="O316">
        <v>0.1</v>
      </c>
      <c r="P316" t="s">
        <v>60</v>
      </c>
    </row>
    <row r="317" spans="1:16" x14ac:dyDescent="0.25">
      <c r="A317" s="1">
        <v>44862</v>
      </c>
      <c r="B317">
        <v>44</v>
      </c>
      <c r="C317">
        <v>10</v>
      </c>
      <c r="D317">
        <v>0.01</v>
      </c>
      <c r="E317">
        <v>7.0000000000000007E-2</v>
      </c>
      <c r="F317">
        <v>12.5</v>
      </c>
      <c r="G317" s="5">
        <v>0</v>
      </c>
      <c r="H317">
        <v>-1.5</v>
      </c>
      <c r="I317">
        <v>1.1000000000000001</v>
      </c>
      <c r="J317">
        <v>1.4</v>
      </c>
      <c r="M317">
        <v>1</v>
      </c>
      <c r="N317">
        <v>1</v>
      </c>
      <c r="O317">
        <v>1.5</v>
      </c>
      <c r="P317" t="s">
        <v>61</v>
      </c>
    </row>
    <row r="318" spans="1:16" x14ac:dyDescent="0.25">
      <c r="A318" s="1">
        <v>44862</v>
      </c>
      <c r="B318">
        <v>44</v>
      </c>
      <c r="C318">
        <v>11</v>
      </c>
      <c r="D318">
        <v>0.01</v>
      </c>
      <c r="E318">
        <v>7.0000000000000007E-2</v>
      </c>
      <c r="F318">
        <v>12.5</v>
      </c>
      <c r="G318" s="5">
        <v>0</v>
      </c>
      <c r="H318">
        <v>-1.5</v>
      </c>
      <c r="I318">
        <v>1.1000000000000001</v>
      </c>
      <c r="J318">
        <v>1.4</v>
      </c>
      <c r="M318">
        <v>1</v>
      </c>
      <c r="N318">
        <v>1</v>
      </c>
      <c r="O318">
        <v>1.5</v>
      </c>
      <c r="P318" t="s">
        <v>62</v>
      </c>
    </row>
    <row r="319" spans="1:16" x14ac:dyDescent="0.25">
      <c r="A319" s="1">
        <v>44862</v>
      </c>
      <c r="B319">
        <v>44</v>
      </c>
      <c r="C319">
        <v>12</v>
      </c>
      <c r="D319">
        <v>0.01</v>
      </c>
      <c r="E319">
        <v>7.0000000000000007E-2</v>
      </c>
      <c r="F319">
        <v>12.5</v>
      </c>
      <c r="G319" s="5">
        <v>0</v>
      </c>
      <c r="H319">
        <v>-1.5</v>
      </c>
      <c r="I319">
        <v>1.1000000000000001</v>
      </c>
      <c r="J319">
        <v>1.4</v>
      </c>
      <c r="M319">
        <v>1</v>
      </c>
      <c r="N319">
        <v>1</v>
      </c>
      <c r="O319">
        <v>1.5</v>
      </c>
      <c r="P319" t="s">
        <v>63</v>
      </c>
    </row>
    <row r="320" spans="1:16" x14ac:dyDescent="0.25">
      <c r="A320" s="1">
        <v>44862</v>
      </c>
      <c r="B320">
        <v>44</v>
      </c>
      <c r="C320">
        <v>13</v>
      </c>
      <c r="D320">
        <v>0.01</v>
      </c>
      <c r="E320">
        <v>7.0000000000000007E-2</v>
      </c>
      <c r="F320">
        <v>12.5</v>
      </c>
      <c r="G320" s="5">
        <v>0</v>
      </c>
      <c r="H320">
        <v>-1.5</v>
      </c>
      <c r="I320">
        <v>1.1000000000000001</v>
      </c>
      <c r="J320">
        <v>1.4</v>
      </c>
      <c r="M320">
        <v>1</v>
      </c>
      <c r="N320">
        <v>1</v>
      </c>
      <c r="O320">
        <v>1.5</v>
      </c>
      <c r="P320" t="s">
        <v>356</v>
      </c>
    </row>
    <row r="321" spans="1:16" x14ac:dyDescent="0.25">
      <c r="A321" s="1">
        <v>44862</v>
      </c>
      <c r="B321">
        <v>44</v>
      </c>
      <c r="C321">
        <v>17</v>
      </c>
      <c r="D321">
        <v>0.01</v>
      </c>
      <c r="E321">
        <v>7.0000000000000007E-2</v>
      </c>
      <c r="F321">
        <v>12.5</v>
      </c>
      <c r="G321" s="5">
        <v>0</v>
      </c>
      <c r="H321">
        <v>-0.5</v>
      </c>
      <c r="I321">
        <v>1.1000000000000001</v>
      </c>
      <c r="J321">
        <v>1.4</v>
      </c>
      <c r="M321">
        <v>1</v>
      </c>
      <c r="N321">
        <v>1</v>
      </c>
      <c r="P321" t="s">
        <v>64</v>
      </c>
    </row>
    <row r="322" spans="1:16" x14ac:dyDescent="0.25">
      <c r="A322" s="1">
        <v>44862</v>
      </c>
      <c r="B322">
        <v>44</v>
      </c>
      <c r="C322">
        <v>18</v>
      </c>
      <c r="D322">
        <v>0.01</v>
      </c>
      <c r="E322">
        <v>7.0000000000000007E-2</v>
      </c>
      <c r="F322">
        <v>12.5</v>
      </c>
      <c r="G322" s="5">
        <v>0</v>
      </c>
      <c r="H322">
        <v>-0.5</v>
      </c>
      <c r="I322">
        <v>1.1000000000000001</v>
      </c>
      <c r="J322">
        <v>1.4</v>
      </c>
      <c r="M322">
        <v>1</v>
      </c>
      <c r="N322">
        <v>1</v>
      </c>
      <c r="P322" t="s">
        <v>65</v>
      </c>
    </row>
    <row r="323" spans="1:16" x14ac:dyDescent="0.25">
      <c r="A323" s="1">
        <v>44862</v>
      </c>
      <c r="B323">
        <v>44</v>
      </c>
      <c r="C323">
        <v>19</v>
      </c>
      <c r="D323">
        <v>0.02</v>
      </c>
      <c r="E323">
        <v>0.14000000000000001</v>
      </c>
      <c r="F323">
        <v>6.25</v>
      </c>
      <c r="G323" s="5">
        <v>0</v>
      </c>
      <c r="H323">
        <v>-1.5</v>
      </c>
      <c r="I323">
        <v>1.2</v>
      </c>
      <c r="J323">
        <v>1.2</v>
      </c>
      <c r="M323">
        <v>1</v>
      </c>
      <c r="N323">
        <v>1</v>
      </c>
      <c r="P323" t="s">
        <v>66</v>
      </c>
    </row>
    <row r="324" spans="1:16" x14ac:dyDescent="0.25">
      <c r="A324" s="1">
        <v>44862</v>
      </c>
      <c r="B324">
        <v>44</v>
      </c>
      <c r="C324">
        <v>20</v>
      </c>
      <c r="D324">
        <v>0.02</v>
      </c>
      <c r="E324">
        <v>0.14000000000000001</v>
      </c>
      <c r="F324">
        <v>6.25</v>
      </c>
      <c r="G324" s="5">
        <v>0</v>
      </c>
      <c r="H324">
        <v>-1.5</v>
      </c>
      <c r="I324">
        <v>1.2</v>
      </c>
      <c r="J324">
        <v>1.2</v>
      </c>
      <c r="M324">
        <v>1</v>
      </c>
      <c r="N324">
        <v>1</v>
      </c>
      <c r="O324">
        <v>1.5</v>
      </c>
      <c r="P324" t="s">
        <v>67</v>
      </c>
    </row>
    <row r="325" spans="1:16" x14ac:dyDescent="0.25">
      <c r="A325" s="1">
        <v>44862</v>
      </c>
      <c r="B325">
        <v>44</v>
      </c>
      <c r="C325">
        <v>21</v>
      </c>
      <c r="D325">
        <v>0.02</v>
      </c>
      <c r="E325">
        <v>0.14000000000000001</v>
      </c>
      <c r="F325">
        <v>6.25</v>
      </c>
      <c r="G325" s="5">
        <v>0</v>
      </c>
      <c r="H325">
        <v>-1.5</v>
      </c>
      <c r="I325">
        <v>1.2</v>
      </c>
      <c r="J325">
        <v>1.2</v>
      </c>
      <c r="M325">
        <v>1</v>
      </c>
      <c r="N325">
        <v>1</v>
      </c>
      <c r="O325">
        <v>1</v>
      </c>
      <c r="P325" t="s">
        <v>110</v>
      </c>
    </row>
    <row r="326" spans="1:16" x14ac:dyDescent="0.25">
      <c r="A326" s="1">
        <v>44862</v>
      </c>
      <c r="B326">
        <v>44</v>
      </c>
      <c r="C326">
        <v>22</v>
      </c>
      <c r="D326">
        <v>0.02</v>
      </c>
      <c r="E326">
        <v>0.14000000000000001</v>
      </c>
      <c r="F326">
        <v>6.25</v>
      </c>
      <c r="G326" s="5">
        <v>0</v>
      </c>
      <c r="H326">
        <v>-1.5</v>
      </c>
      <c r="I326">
        <v>1.2</v>
      </c>
      <c r="J326">
        <v>1.2</v>
      </c>
      <c r="M326">
        <v>1</v>
      </c>
      <c r="N326">
        <v>1</v>
      </c>
      <c r="O326">
        <v>1.5</v>
      </c>
      <c r="P326" t="s">
        <v>120</v>
      </c>
    </row>
    <row r="327" spans="1:16" x14ac:dyDescent="0.25">
      <c r="A327" s="1">
        <v>44862</v>
      </c>
      <c r="B327">
        <v>45</v>
      </c>
      <c r="C327">
        <v>25</v>
      </c>
      <c r="D327">
        <v>0.01</v>
      </c>
      <c r="E327">
        <v>7.0000000000000007E-2</v>
      </c>
      <c r="F327">
        <v>12.5</v>
      </c>
      <c r="G327" s="5">
        <v>0</v>
      </c>
      <c r="H327">
        <v>-0.5</v>
      </c>
      <c r="I327">
        <v>1.1000000000000001</v>
      </c>
      <c r="J327">
        <v>1.4</v>
      </c>
      <c r="M327">
        <v>1</v>
      </c>
      <c r="N327">
        <v>1</v>
      </c>
      <c r="O327">
        <v>2</v>
      </c>
      <c r="P327" t="s">
        <v>298</v>
      </c>
    </row>
    <row r="328" spans="1:16" x14ac:dyDescent="0.25">
      <c r="A328" s="1">
        <v>44862</v>
      </c>
      <c r="B328">
        <v>45</v>
      </c>
      <c r="C328">
        <v>26</v>
      </c>
      <c r="D328">
        <v>0.01</v>
      </c>
      <c r="E328">
        <v>7.0000000000000007E-2</v>
      </c>
      <c r="F328">
        <v>12.5</v>
      </c>
      <c r="G328" s="5">
        <v>0</v>
      </c>
      <c r="H328">
        <v>-0.5</v>
      </c>
      <c r="I328">
        <v>1.1000000000000001</v>
      </c>
      <c r="J328">
        <v>1.4</v>
      </c>
      <c r="M328">
        <v>1</v>
      </c>
      <c r="N328">
        <v>1</v>
      </c>
      <c r="O328">
        <v>2</v>
      </c>
      <c r="P328" t="s">
        <v>115</v>
      </c>
    </row>
    <row r="329" spans="1:16" x14ac:dyDescent="0.25">
      <c r="A329" s="1">
        <v>44862</v>
      </c>
      <c r="B329">
        <v>45</v>
      </c>
      <c r="C329">
        <v>27</v>
      </c>
      <c r="D329">
        <v>0.01</v>
      </c>
      <c r="E329">
        <v>7.0000000000000007E-2</v>
      </c>
      <c r="F329">
        <v>12.5</v>
      </c>
      <c r="G329" s="5">
        <v>0</v>
      </c>
      <c r="H329">
        <v>-0.5</v>
      </c>
      <c r="I329">
        <v>1.1000000000000001</v>
      </c>
      <c r="J329">
        <v>1.4</v>
      </c>
      <c r="M329">
        <v>1</v>
      </c>
      <c r="N329">
        <v>1</v>
      </c>
      <c r="O329">
        <v>2</v>
      </c>
      <c r="P329" t="s">
        <v>342</v>
      </c>
    </row>
    <row r="330" spans="1:16" x14ac:dyDescent="0.25">
      <c r="A330" s="1">
        <v>44862</v>
      </c>
      <c r="B330">
        <v>45</v>
      </c>
      <c r="C330">
        <v>28</v>
      </c>
      <c r="D330">
        <v>0.01</v>
      </c>
      <c r="E330">
        <v>7.0000000000000007E-2</v>
      </c>
      <c r="F330">
        <v>12.5</v>
      </c>
      <c r="G330" s="5">
        <v>0</v>
      </c>
      <c r="H330">
        <v>-0.5</v>
      </c>
      <c r="I330">
        <v>1.1000000000000001</v>
      </c>
      <c r="J330">
        <v>1.4</v>
      </c>
      <c r="M330">
        <v>1</v>
      </c>
      <c r="N330">
        <v>1</v>
      </c>
      <c r="O330">
        <v>2</v>
      </c>
      <c r="P330" t="s">
        <v>343</v>
      </c>
    </row>
    <row r="331" spans="1:16" x14ac:dyDescent="0.25">
      <c r="A331" s="1">
        <v>44862</v>
      </c>
      <c r="B331">
        <v>45</v>
      </c>
      <c r="C331">
        <v>29</v>
      </c>
      <c r="D331">
        <v>0.01</v>
      </c>
      <c r="E331">
        <v>7.0000000000000007E-2</v>
      </c>
      <c r="F331">
        <v>12.5</v>
      </c>
      <c r="G331" s="5">
        <v>0</v>
      </c>
      <c r="H331">
        <v>-0.5</v>
      </c>
      <c r="I331">
        <v>1.1000000000000001</v>
      </c>
      <c r="J331">
        <v>1.4</v>
      </c>
      <c r="M331">
        <v>1</v>
      </c>
      <c r="N331">
        <v>1</v>
      </c>
      <c r="O331">
        <v>2</v>
      </c>
      <c r="P331" t="s">
        <v>344</v>
      </c>
    </row>
    <row r="332" spans="1:16" x14ac:dyDescent="0.25">
      <c r="A332" s="1">
        <v>44862</v>
      </c>
      <c r="B332">
        <v>45</v>
      </c>
      <c r="C332">
        <v>30</v>
      </c>
      <c r="D332">
        <v>0.01</v>
      </c>
      <c r="E332">
        <v>7.0000000000000007E-2</v>
      </c>
      <c r="F332">
        <v>12.5</v>
      </c>
      <c r="G332" s="5">
        <v>0</v>
      </c>
      <c r="H332">
        <v>-0.5</v>
      </c>
      <c r="I332">
        <v>1.1000000000000001</v>
      </c>
      <c r="J332">
        <v>1.4</v>
      </c>
      <c r="M332">
        <v>1</v>
      </c>
      <c r="N332">
        <v>1</v>
      </c>
      <c r="O332">
        <v>1.5</v>
      </c>
      <c r="P332" t="s">
        <v>68</v>
      </c>
    </row>
    <row r="333" spans="1:16" x14ac:dyDescent="0.25">
      <c r="A333" s="1">
        <v>44862</v>
      </c>
      <c r="B333">
        <v>45</v>
      </c>
      <c r="C333">
        <v>31</v>
      </c>
      <c r="D333">
        <v>0.01</v>
      </c>
      <c r="E333">
        <v>7.0000000000000007E-2</v>
      </c>
      <c r="F333">
        <v>12.5</v>
      </c>
      <c r="G333" s="5">
        <v>0</v>
      </c>
      <c r="H333">
        <v>-0.5</v>
      </c>
      <c r="I333">
        <v>1.1000000000000001</v>
      </c>
      <c r="J333">
        <v>1.4</v>
      </c>
      <c r="M333">
        <v>1</v>
      </c>
      <c r="N333">
        <v>1</v>
      </c>
      <c r="P333" t="s">
        <v>69</v>
      </c>
    </row>
    <row r="334" spans="1:16" x14ac:dyDescent="0.25">
      <c r="A334" s="1">
        <v>44862</v>
      </c>
      <c r="B334">
        <v>45</v>
      </c>
      <c r="C334">
        <v>32</v>
      </c>
      <c r="D334">
        <v>0.01</v>
      </c>
      <c r="E334">
        <v>7.0000000000000007E-2</v>
      </c>
      <c r="F334">
        <v>12.5</v>
      </c>
      <c r="G334" s="5">
        <v>0</v>
      </c>
      <c r="H334">
        <v>-0.5</v>
      </c>
      <c r="I334">
        <v>1.1000000000000001</v>
      </c>
      <c r="J334">
        <v>1.4</v>
      </c>
      <c r="M334">
        <v>1</v>
      </c>
      <c r="N334">
        <v>1</v>
      </c>
      <c r="P334" t="s">
        <v>70</v>
      </c>
    </row>
    <row r="335" spans="1:16" x14ac:dyDescent="0.25">
      <c r="A335" s="1">
        <v>44862</v>
      </c>
      <c r="B335">
        <v>45</v>
      </c>
      <c r="C335">
        <v>33</v>
      </c>
      <c r="D335">
        <v>0.01</v>
      </c>
      <c r="E335">
        <v>7.0000000000000007E-2</v>
      </c>
      <c r="F335">
        <v>12.5</v>
      </c>
      <c r="G335" s="5">
        <v>0</v>
      </c>
      <c r="H335">
        <v>-0.5</v>
      </c>
      <c r="I335">
        <v>1.3</v>
      </c>
      <c r="J335">
        <v>1.4</v>
      </c>
      <c r="M335">
        <v>1</v>
      </c>
      <c r="N335">
        <v>1</v>
      </c>
      <c r="O335">
        <v>2</v>
      </c>
      <c r="P335" t="s">
        <v>71</v>
      </c>
    </row>
    <row r="336" spans="1:16" x14ac:dyDescent="0.25">
      <c r="A336" s="1">
        <v>44862</v>
      </c>
      <c r="B336">
        <v>45</v>
      </c>
      <c r="C336">
        <v>34</v>
      </c>
      <c r="D336">
        <v>0.01</v>
      </c>
      <c r="E336">
        <v>7.0000000000000007E-2</v>
      </c>
      <c r="F336">
        <v>12.5</v>
      </c>
      <c r="G336" s="5">
        <v>0</v>
      </c>
      <c r="H336">
        <v>-0.5</v>
      </c>
      <c r="I336">
        <v>1.1000000000000001</v>
      </c>
      <c r="J336">
        <v>1.4</v>
      </c>
      <c r="M336">
        <v>1</v>
      </c>
      <c r="N336">
        <v>1</v>
      </c>
      <c r="O336">
        <v>2</v>
      </c>
      <c r="P336" t="s">
        <v>72</v>
      </c>
    </row>
    <row r="337" spans="1:16" x14ac:dyDescent="0.25">
      <c r="A337" s="1">
        <v>44862</v>
      </c>
      <c r="B337">
        <v>45</v>
      </c>
      <c r="C337">
        <v>35</v>
      </c>
      <c r="D337">
        <v>0.01</v>
      </c>
      <c r="E337">
        <v>7.0000000000000007E-2</v>
      </c>
      <c r="F337">
        <v>12.5</v>
      </c>
      <c r="G337" s="5">
        <v>0</v>
      </c>
      <c r="H337">
        <v>-0.5</v>
      </c>
      <c r="I337">
        <v>1.1000000000000001</v>
      </c>
      <c r="J337">
        <v>1.4</v>
      </c>
      <c r="M337">
        <v>1</v>
      </c>
      <c r="N337">
        <v>1</v>
      </c>
      <c r="O337">
        <v>1.5</v>
      </c>
      <c r="P337" t="s">
        <v>73</v>
      </c>
    </row>
    <row r="338" spans="1:16" x14ac:dyDescent="0.25">
      <c r="A338" s="1">
        <v>44862</v>
      </c>
      <c r="B338">
        <v>45</v>
      </c>
      <c r="C338">
        <v>36</v>
      </c>
      <c r="D338">
        <v>0.01</v>
      </c>
      <c r="E338">
        <v>7.0000000000000007E-2</v>
      </c>
      <c r="F338">
        <v>12.5</v>
      </c>
      <c r="G338" s="5">
        <v>0</v>
      </c>
      <c r="H338">
        <v>-0.5</v>
      </c>
      <c r="I338">
        <v>1.1000000000000001</v>
      </c>
      <c r="J338">
        <v>1.4</v>
      </c>
      <c r="M338">
        <v>1</v>
      </c>
      <c r="N338">
        <v>1</v>
      </c>
      <c r="O338">
        <v>2</v>
      </c>
      <c r="P338" t="s">
        <v>357</v>
      </c>
    </row>
    <row r="339" spans="1:16" x14ac:dyDescent="0.25">
      <c r="A339" s="1">
        <v>44862</v>
      </c>
      <c r="B339">
        <v>45</v>
      </c>
      <c r="C339">
        <v>37</v>
      </c>
      <c r="D339">
        <v>0.01</v>
      </c>
      <c r="E339">
        <v>7.0000000000000007E-2</v>
      </c>
      <c r="F339">
        <v>12.5</v>
      </c>
      <c r="G339" s="5">
        <v>0</v>
      </c>
      <c r="H339">
        <v>-0.5</v>
      </c>
      <c r="I339">
        <v>1.1000000000000001</v>
      </c>
      <c r="J339">
        <v>1.4</v>
      </c>
      <c r="M339">
        <v>1</v>
      </c>
      <c r="N339">
        <v>1</v>
      </c>
      <c r="O339">
        <v>2</v>
      </c>
      <c r="P339" t="s">
        <v>74</v>
      </c>
    </row>
    <row r="340" spans="1:16" x14ac:dyDescent="0.25">
      <c r="A340" s="1">
        <v>44862</v>
      </c>
      <c r="B340">
        <v>45</v>
      </c>
      <c r="C340">
        <v>38</v>
      </c>
      <c r="D340">
        <v>0.01</v>
      </c>
      <c r="E340">
        <v>7.0000000000000007E-2</v>
      </c>
      <c r="F340">
        <v>12.5</v>
      </c>
      <c r="G340" s="5">
        <v>0</v>
      </c>
      <c r="H340">
        <v>-0.5</v>
      </c>
      <c r="I340">
        <v>1.1000000000000001</v>
      </c>
      <c r="J340">
        <v>1.4</v>
      </c>
      <c r="M340">
        <v>1</v>
      </c>
      <c r="N340">
        <v>1</v>
      </c>
      <c r="P340" t="s">
        <v>75</v>
      </c>
    </row>
    <row r="341" spans="1:16" x14ac:dyDescent="0.25">
      <c r="A341" s="1">
        <v>44862</v>
      </c>
      <c r="B341">
        <v>45</v>
      </c>
      <c r="C341">
        <v>39</v>
      </c>
      <c r="D341">
        <v>0.01</v>
      </c>
      <c r="E341">
        <v>7.0000000000000007E-2</v>
      </c>
      <c r="F341">
        <v>12.5</v>
      </c>
      <c r="G341" s="5">
        <v>0</v>
      </c>
      <c r="H341">
        <v>-0.5</v>
      </c>
      <c r="I341">
        <v>1.1000000000000001</v>
      </c>
      <c r="J341">
        <v>1.4</v>
      </c>
      <c r="M341">
        <v>1</v>
      </c>
      <c r="N341">
        <v>1</v>
      </c>
      <c r="P341" t="s">
        <v>76</v>
      </c>
    </row>
    <row r="342" spans="1:16" x14ac:dyDescent="0.25">
      <c r="A342" s="1">
        <v>44862</v>
      </c>
      <c r="B342">
        <v>45</v>
      </c>
      <c r="C342">
        <v>40</v>
      </c>
      <c r="D342">
        <v>0.02</v>
      </c>
      <c r="E342">
        <v>0.14000000000000001</v>
      </c>
      <c r="F342">
        <v>6.25</v>
      </c>
      <c r="G342" s="5">
        <v>0</v>
      </c>
      <c r="H342">
        <v>-1.5</v>
      </c>
      <c r="I342">
        <v>1.2</v>
      </c>
      <c r="J342">
        <v>1.2</v>
      </c>
      <c r="M342">
        <v>1</v>
      </c>
      <c r="N342">
        <v>1</v>
      </c>
      <c r="O342">
        <v>1.5</v>
      </c>
      <c r="P342" t="s">
        <v>110</v>
      </c>
    </row>
    <row r="343" spans="1:16" x14ac:dyDescent="0.25">
      <c r="A343" s="1">
        <v>44862</v>
      </c>
      <c r="B343">
        <v>45</v>
      </c>
      <c r="C343">
        <v>41</v>
      </c>
      <c r="D343">
        <v>0.02</v>
      </c>
      <c r="E343">
        <v>0.14000000000000001</v>
      </c>
      <c r="F343">
        <v>6.25</v>
      </c>
      <c r="G343" s="5">
        <v>0</v>
      </c>
      <c r="H343">
        <v>-1.5</v>
      </c>
      <c r="I343">
        <v>1.2</v>
      </c>
      <c r="J343">
        <v>1.2</v>
      </c>
      <c r="M343">
        <v>1</v>
      </c>
      <c r="N343">
        <v>1</v>
      </c>
      <c r="O343">
        <v>3</v>
      </c>
      <c r="P343" t="s">
        <v>120</v>
      </c>
    </row>
    <row r="344" spans="1:16" x14ac:dyDescent="0.25">
      <c r="A344" s="1">
        <v>44862</v>
      </c>
      <c r="B344">
        <v>45</v>
      </c>
      <c r="C344">
        <v>42</v>
      </c>
      <c r="D344">
        <v>0.02</v>
      </c>
      <c r="E344">
        <v>0.14000000000000001</v>
      </c>
      <c r="F344">
        <v>6.25</v>
      </c>
      <c r="G344" s="5">
        <v>0</v>
      </c>
      <c r="H344">
        <v>-1.5</v>
      </c>
      <c r="I344">
        <v>1.2</v>
      </c>
      <c r="J344">
        <v>1.2</v>
      </c>
      <c r="M344">
        <v>1</v>
      </c>
      <c r="N344">
        <v>1</v>
      </c>
      <c r="O344">
        <v>2</v>
      </c>
      <c r="P344" t="s">
        <v>67</v>
      </c>
    </row>
    <row r="345" spans="1:16" x14ac:dyDescent="0.25">
      <c r="A345" s="1">
        <v>44862</v>
      </c>
      <c r="B345">
        <v>45</v>
      </c>
      <c r="C345">
        <v>43</v>
      </c>
      <c r="D345">
        <v>0.02</v>
      </c>
      <c r="E345">
        <v>0.14000000000000001</v>
      </c>
      <c r="F345">
        <v>6.25</v>
      </c>
      <c r="G345" s="5">
        <v>0</v>
      </c>
      <c r="H345">
        <v>-1.5</v>
      </c>
      <c r="I345">
        <v>1.2</v>
      </c>
      <c r="J345">
        <v>1.2</v>
      </c>
      <c r="M345">
        <v>1</v>
      </c>
      <c r="N345">
        <v>1</v>
      </c>
      <c r="P345" t="s">
        <v>66</v>
      </c>
    </row>
    <row r="346" spans="1:16" x14ac:dyDescent="0.25">
      <c r="A346" s="1">
        <v>44862</v>
      </c>
      <c r="B346">
        <v>44</v>
      </c>
      <c r="C346">
        <v>47</v>
      </c>
      <c r="D346">
        <v>0.01</v>
      </c>
      <c r="E346">
        <v>7.0000000000000007E-2</v>
      </c>
      <c r="F346">
        <v>12.5</v>
      </c>
      <c r="G346" s="5">
        <v>0</v>
      </c>
      <c r="H346">
        <v>-0.5</v>
      </c>
      <c r="I346">
        <v>1.1000000000000001</v>
      </c>
      <c r="J346">
        <v>1</v>
      </c>
      <c r="M346">
        <v>1</v>
      </c>
      <c r="N346">
        <v>1</v>
      </c>
      <c r="P346" s="7" t="s">
        <v>77</v>
      </c>
    </row>
    <row r="347" spans="1:16" x14ac:dyDescent="0.25">
      <c r="A347" s="1">
        <v>44874</v>
      </c>
      <c r="B347">
        <v>46</v>
      </c>
      <c r="C347">
        <v>3</v>
      </c>
      <c r="D347">
        <v>0.01</v>
      </c>
      <c r="E347">
        <v>7.0000000000000007E-2</v>
      </c>
      <c r="F347">
        <v>12.5</v>
      </c>
      <c r="G347" s="5">
        <v>0</v>
      </c>
      <c r="H347">
        <v>-0.5</v>
      </c>
      <c r="I347">
        <v>1.1000000000000001</v>
      </c>
      <c r="J347">
        <v>1.4</v>
      </c>
      <c r="M347">
        <v>1</v>
      </c>
      <c r="N347">
        <v>1</v>
      </c>
      <c r="O347">
        <v>0.25</v>
      </c>
      <c r="P347" t="s">
        <v>299</v>
      </c>
    </row>
    <row r="348" spans="1:16" x14ac:dyDescent="0.25">
      <c r="A348" s="1">
        <v>44874</v>
      </c>
      <c r="B348">
        <v>46</v>
      </c>
      <c r="C348">
        <v>4</v>
      </c>
      <c r="D348">
        <v>0.01</v>
      </c>
      <c r="E348">
        <v>7.0000000000000007E-2</v>
      </c>
      <c r="F348">
        <v>12.5</v>
      </c>
      <c r="G348" s="5">
        <v>0</v>
      </c>
      <c r="H348">
        <v>-0.5</v>
      </c>
      <c r="I348">
        <v>1.1000000000000001</v>
      </c>
      <c r="J348">
        <v>1.4</v>
      </c>
      <c r="M348">
        <v>1</v>
      </c>
      <c r="N348">
        <v>1</v>
      </c>
      <c r="O348">
        <v>3</v>
      </c>
      <c r="P348" t="s">
        <v>117</v>
      </c>
    </row>
    <row r="349" spans="1:16" x14ac:dyDescent="0.25">
      <c r="A349" s="1">
        <v>44874</v>
      </c>
      <c r="B349">
        <v>46</v>
      </c>
      <c r="C349">
        <v>5</v>
      </c>
      <c r="D349">
        <v>0.01</v>
      </c>
      <c r="E349">
        <v>7.0000000000000007E-2</v>
      </c>
      <c r="F349">
        <v>12.5</v>
      </c>
      <c r="G349" s="5">
        <v>0</v>
      </c>
      <c r="H349">
        <v>-0.5</v>
      </c>
      <c r="I349">
        <v>1.1000000000000001</v>
      </c>
      <c r="J349">
        <v>1.4</v>
      </c>
      <c r="M349">
        <v>1</v>
      </c>
      <c r="N349">
        <v>1</v>
      </c>
      <c r="O349">
        <v>3</v>
      </c>
      <c r="P349" t="s">
        <v>345</v>
      </c>
    </row>
    <row r="350" spans="1:16" x14ac:dyDescent="0.25">
      <c r="A350" s="1">
        <v>44874</v>
      </c>
      <c r="B350">
        <v>46</v>
      </c>
      <c r="C350">
        <v>6</v>
      </c>
      <c r="D350">
        <v>0.01</v>
      </c>
      <c r="E350">
        <v>7.0000000000000007E-2</v>
      </c>
      <c r="F350">
        <v>12.5</v>
      </c>
      <c r="G350" s="5">
        <v>0</v>
      </c>
      <c r="H350">
        <v>-0.5</v>
      </c>
      <c r="I350">
        <v>1.1000000000000001</v>
      </c>
      <c r="J350">
        <v>1.1000000000000001</v>
      </c>
      <c r="M350">
        <v>1</v>
      </c>
      <c r="N350">
        <v>1</v>
      </c>
      <c r="O350">
        <v>0.25</v>
      </c>
      <c r="P350" t="s">
        <v>346</v>
      </c>
    </row>
    <row r="351" spans="1:16" x14ac:dyDescent="0.25">
      <c r="A351" s="1">
        <v>44874</v>
      </c>
      <c r="B351">
        <v>46</v>
      </c>
      <c r="C351">
        <v>7</v>
      </c>
      <c r="D351">
        <v>0.01</v>
      </c>
      <c r="E351">
        <v>7.0000000000000007E-2</v>
      </c>
      <c r="F351">
        <v>12.5</v>
      </c>
      <c r="G351" s="5">
        <v>0</v>
      </c>
      <c r="H351">
        <v>-0.5</v>
      </c>
      <c r="I351">
        <v>1.1000000000000001</v>
      </c>
      <c r="J351">
        <v>1.4</v>
      </c>
      <c r="M351">
        <v>1</v>
      </c>
      <c r="N351">
        <v>1</v>
      </c>
      <c r="O351">
        <v>0.05</v>
      </c>
      <c r="P351" t="s">
        <v>347</v>
      </c>
    </row>
    <row r="352" spans="1:16" x14ac:dyDescent="0.25">
      <c r="A352" s="1">
        <v>44874</v>
      </c>
      <c r="B352">
        <v>46</v>
      </c>
      <c r="C352">
        <v>8</v>
      </c>
      <c r="D352">
        <v>0.01</v>
      </c>
      <c r="E352">
        <v>7.0000000000000007E-2</v>
      </c>
      <c r="F352">
        <v>12.5</v>
      </c>
      <c r="G352" s="5">
        <v>0</v>
      </c>
      <c r="H352">
        <v>-0.5</v>
      </c>
      <c r="I352">
        <v>1.1000000000000001</v>
      </c>
      <c r="J352">
        <v>1.4</v>
      </c>
      <c r="M352">
        <v>1</v>
      </c>
      <c r="N352">
        <v>1</v>
      </c>
      <c r="O352">
        <v>3</v>
      </c>
      <c r="P352" t="s">
        <v>121</v>
      </c>
    </row>
    <row r="353" spans="1:16" x14ac:dyDescent="0.25">
      <c r="A353" s="1">
        <v>44874</v>
      </c>
      <c r="B353">
        <v>46</v>
      </c>
      <c r="C353">
        <v>9</v>
      </c>
      <c r="D353">
        <v>0.01</v>
      </c>
      <c r="E353">
        <v>7.0000000000000007E-2</v>
      </c>
      <c r="F353">
        <v>12.5</v>
      </c>
      <c r="G353" s="5">
        <v>0</v>
      </c>
      <c r="H353">
        <v>-0.5</v>
      </c>
      <c r="I353">
        <v>1.1000000000000001</v>
      </c>
      <c r="J353">
        <v>1.4</v>
      </c>
      <c r="M353">
        <v>1</v>
      </c>
      <c r="N353">
        <v>1</v>
      </c>
      <c r="O353">
        <v>3</v>
      </c>
      <c r="P353" t="s">
        <v>123</v>
      </c>
    </row>
    <row r="354" spans="1:16" x14ac:dyDescent="0.25">
      <c r="A354" s="1">
        <v>44874</v>
      </c>
      <c r="B354">
        <v>46</v>
      </c>
      <c r="C354">
        <v>10</v>
      </c>
      <c r="D354">
        <v>0.02</v>
      </c>
      <c r="E354">
        <v>0.14000000000000001</v>
      </c>
      <c r="F354">
        <v>6.25</v>
      </c>
      <c r="G354" s="5">
        <v>0</v>
      </c>
      <c r="H354">
        <v>-1.5</v>
      </c>
      <c r="I354">
        <v>1.2</v>
      </c>
      <c r="J354">
        <v>1.2</v>
      </c>
      <c r="M354">
        <v>1</v>
      </c>
      <c r="N354">
        <v>1</v>
      </c>
      <c r="O354">
        <v>3</v>
      </c>
      <c r="P354" t="s">
        <v>79</v>
      </c>
    </row>
    <row r="355" spans="1:16" x14ac:dyDescent="0.25">
      <c r="A355" s="1">
        <v>44874</v>
      </c>
      <c r="B355">
        <v>46</v>
      </c>
      <c r="C355">
        <v>11</v>
      </c>
      <c r="D355">
        <v>0.02</v>
      </c>
      <c r="E355">
        <v>0.14000000000000001</v>
      </c>
      <c r="F355">
        <v>6.25</v>
      </c>
      <c r="G355" s="5">
        <v>0</v>
      </c>
      <c r="H355">
        <v>-1.5</v>
      </c>
      <c r="I355">
        <v>1.2</v>
      </c>
      <c r="J355">
        <v>1.2</v>
      </c>
      <c r="M355">
        <v>1</v>
      </c>
      <c r="N355">
        <v>1</v>
      </c>
      <c r="P355" t="s">
        <v>80</v>
      </c>
    </row>
    <row r="356" spans="1:16" x14ac:dyDescent="0.25">
      <c r="A356" s="1">
        <v>44874</v>
      </c>
      <c r="B356">
        <v>46</v>
      </c>
      <c r="C356">
        <v>12</v>
      </c>
      <c r="D356">
        <v>0.02</v>
      </c>
      <c r="E356">
        <v>0.14000000000000001</v>
      </c>
      <c r="F356">
        <v>6.25</v>
      </c>
      <c r="G356" s="5">
        <v>0</v>
      </c>
      <c r="H356">
        <v>-1.5</v>
      </c>
      <c r="I356">
        <v>1.2</v>
      </c>
      <c r="J356">
        <v>1.2</v>
      </c>
      <c r="M356">
        <v>1</v>
      </c>
      <c r="N356">
        <v>1</v>
      </c>
      <c r="P356" t="s">
        <v>108</v>
      </c>
    </row>
    <row r="357" spans="1:16" x14ac:dyDescent="0.25">
      <c r="A357" s="1">
        <v>44874</v>
      </c>
      <c r="B357">
        <v>46</v>
      </c>
      <c r="C357">
        <v>13</v>
      </c>
      <c r="D357">
        <v>0.01</v>
      </c>
      <c r="E357">
        <v>7.0000000000000007E-2</v>
      </c>
      <c r="F357">
        <v>12.5</v>
      </c>
      <c r="G357" s="5">
        <v>0</v>
      </c>
      <c r="H357">
        <v>-0.5</v>
      </c>
      <c r="I357">
        <v>1.1000000000000001</v>
      </c>
      <c r="J357">
        <v>1.4</v>
      </c>
      <c r="M357">
        <v>1</v>
      </c>
      <c r="N357">
        <v>1</v>
      </c>
      <c r="P357" t="s">
        <v>81</v>
      </c>
    </row>
    <row r="358" spans="1:16" x14ac:dyDescent="0.25">
      <c r="A358" s="1">
        <v>44874</v>
      </c>
      <c r="B358">
        <v>46</v>
      </c>
      <c r="C358">
        <v>14</v>
      </c>
      <c r="D358">
        <v>0.01</v>
      </c>
      <c r="E358">
        <v>7.0000000000000007E-2</v>
      </c>
      <c r="F358">
        <v>12.5</v>
      </c>
      <c r="G358" s="5">
        <v>0</v>
      </c>
      <c r="H358">
        <v>-0.5</v>
      </c>
      <c r="I358">
        <v>1.1000000000000001</v>
      </c>
      <c r="J358">
        <v>1.4</v>
      </c>
      <c r="M358">
        <v>1</v>
      </c>
      <c r="N358">
        <v>1</v>
      </c>
      <c r="O358">
        <v>3</v>
      </c>
      <c r="P358" t="s">
        <v>82</v>
      </c>
    </row>
    <row r="359" spans="1:16" x14ac:dyDescent="0.25">
      <c r="A359" s="1">
        <v>44874</v>
      </c>
      <c r="B359">
        <v>46</v>
      </c>
      <c r="C359">
        <v>15</v>
      </c>
      <c r="D359">
        <v>0.01</v>
      </c>
      <c r="E359">
        <v>7.0000000000000007E-2</v>
      </c>
      <c r="F359">
        <v>12.5</v>
      </c>
      <c r="G359" s="5">
        <v>0</v>
      </c>
      <c r="H359">
        <v>-0.5</v>
      </c>
      <c r="I359">
        <v>1.1000000000000001</v>
      </c>
      <c r="J359">
        <v>1.4</v>
      </c>
      <c r="M359">
        <v>1</v>
      </c>
      <c r="N359">
        <v>1</v>
      </c>
      <c r="P359" t="s">
        <v>83</v>
      </c>
    </row>
    <row r="360" spans="1:16" x14ac:dyDescent="0.25">
      <c r="A360" s="1">
        <v>44874</v>
      </c>
      <c r="B360">
        <v>46</v>
      </c>
      <c r="C360">
        <v>16</v>
      </c>
      <c r="D360">
        <v>0.01</v>
      </c>
      <c r="E360">
        <v>7.0000000000000007E-2</v>
      </c>
      <c r="F360">
        <v>12.5</v>
      </c>
      <c r="G360" s="5">
        <v>0</v>
      </c>
      <c r="H360">
        <v>-0.5</v>
      </c>
      <c r="I360">
        <v>1.1000000000000001</v>
      </c>
      <c r="J360">
        <v>1.4</v>
      </c>
      <c r="M360">
        <v>1</v>
      </c>
      <c r="N360">
        <v>1</v>
      </c>
      <c r="O360">
        <v>2.5000000000000001E-2</v>
      </c>
      <c r="P360" t="s">
        <v>84</v>
      </c>
    </row>
    <row r="361" spans="1:16" x14ac:dyDescent="0.25">
      <c r="A361" s="1">
        <v>44874</v>
      </c>
      <c r="B361">
        <v>46</v>
      </c>
      <c r="C361">
        <v>17</v>
      </c>
      <c r="D361">
        <v>0.01</v>
      </c>
      <c r="E361">
        <v>7.0000000000000007E-2</v>
      </c>
      <c r="F361">
        <v>12.5</v>
      </c>
      <c r="G361" s="5">
        <v>0</v>
      </c>
      <c r="H361">
        <v>-0.5</v>
      </c>
      <c r="I361">
        <v>1.1000000000000001</v>
      </c>
      <c r="J361">
        <v>1.4</v>
      </c>
      <c r="M361">
        <v>1</v>
      </c>
      <c r="N361">
        <v>1</v>
      </c>
      <c r="O361">
        <v>0.05</v>
      </c>
      <c r="P361" t="s">
        <v>358</v>
      </c>
    </row>
    <row r="362" spans="1:16" x14ac:dyDescent="0.25">
      <c r="A362" s="1">
        <v>44874</v>
      </c>
      <c r="B362">
        <v>46</v>
      </c>
      <c r="C362">
        <v>18</v>
      </c>
      <c r="D362">
        <v>0.01</v>
      </c>
      <c r="E362">
        <v>7.0000000000000007E-2</v>
      </c>
      <c r="F362">
        <v>12.5</v>
      </c>
      <c r="G362" s="5">
        <v>0</v>
      </c>
      <c r="H362">
        <v>-0.5</v>
      </c>
      <c r="I362">
        <v>1.1000000000000001</v>
      </c>
      <c r="J362">
        <v>1.4</v>
      </c>
      <c r="M362">
        <v>1</v>
      </c>
      <c r="N362">
        <v>1</v>
      </c>
      <c r="O362">
        <v>2</v>
      </c>
      <c r="P362" t="s">
        <v>85</v>
      </c>
    </row>
    <row r="363" spans="1:16" x14ac:dyDescent="0.25">
      <c r="A363" s="1">
        <v>44874</v>
      </c>
      <c r="B363">
        <v>46</v>
      </c>
      <c r="C363">
        <v>19</v>
      </c>
      <c r="D363">
        <v>0.01</v>
      </c>
      <c r="E363">
        <v>7.0000000000000007E-2</v>
      </c>
      <c r="F363">
        <v>12.5</v>
      </c>
      <c r="G363" s="5">
        <v>0</v>
      </c>
      <c r="H363">
        <v>-0.5</v>
      </c>
      <c r="I363">
        <v>1.1000000000000001</v>
      </c>
      <c r="J363">
        <v>1.4</v>
      </c>
      <c r="M363">
        <v>1</v>
      </c>
      <c r="N363">
        <v>1</v>
      </c>
      <c r="O363">
        <v>2</v>
      </c>
      <c r="P363" t="s">
        <v>86</v>
      </c>
    </row>
    <row r="364" spans="1:16" x14ac:dyDescent="0.25">
      <c r="A364" s="1">
        <v>44874</v>
      </c>
      <c r="B364">
        <v>46</v>
      </c>
      <c r="C364">
        <v>20</v>
      </c>
      <c r="D364">
        <v>0.01</v>
      </c>
      <c r="E364">
        <v>7.0000000000000007E-2</v>
      </c>
      <c r="F364">
        <v>12.5</v>
      </c>
      <c r="G364" s="5">
        <v>0</v>
      </c>
      <c r="H364">
        <v>-0.5</v>
      </c>
      <c r="I364">
        <v>1.1000000000000001</v>
      </c>
      <c r="J364">
        <v>1.4</v>
      </c>
      <c r="M364">
        <v>1</v>
      </c>
      <c r="N364">
        <v>1</v>
      </c>
      <c r="O364">
        <v>2</v>
      </c>
      <c r="P364" t="s">
        <v>87</v>
      </c>
    </row>
    <row r="365" spans="1:16" x14ac:dyDescent="0.25">
      <c r="A365" s="1">
        <v>44874</v>
      </c>
      <c r="B365">
        <v>46</v>
      </c>
      <c r="C365">
        <v>21</v>
      </c>
      <c r="D365">
        <v>0.01</v>
      </c>
      <c r="E365">
        <v>7.0000000000000007E-2</v>
      </c>
      <c r="F365">
        <v>12.5</v>
      </c>
      <c r="G365" s="5">
        <v>0</v>
      </c>
      <c r="H365">
        <v>-0.5</v>
      </c>
      <c r="I365">
        <v>1.1000000000000001</v>
      </c>
      <c r="J365">
        <v>1.4</v>
      </c>
      <c r="M365">
        <v>1</v>
      </c>
      <c r="N365">
        <v>1</v>
      </c>
      <c r="O365">
        <v>0.5</v>
      </c>
      <c r="P365" t="s">
        <v>88</v>
      </c>
    </row>
    <row r="366" spans="1:16" x14ac:dyDescent="0.25">
      <c r="A366" s="1">
        <v>44875</v>
      </c>
      <c r="B366">
        <v>47</v>
      </c>
      <c r="C366">
        <v>3</v>
      </c>
      <c r="D366">
        <v>0.01</v>
      </c>
      <c r="E366">
        <v>7.0000000000000007E-2</v>
      </c>
      <c r="F366">
        <v>12.5</v>
      </c>
      <c r="G366" s="5">
        <v>0</v>
      </c>
      <c r="H366">
        <v>-0.5</v>
      </c>
      <c r="I366">
        <v>1.1000000000000001</v>
      </c>
      <c r="J366">
        <v>1.4</v>
      </c>
      <c r="M366">
        <v>1</v>
      </c>
      <c r="N366">
        <v>1</v>
      </c>
      <c r="O366">
        <v>2</v>
      </c>
      <c r="P366" t="s">
        <v>299</v>
      </c>
    </row>
    <row r="367" spans="1:16" x14ac:dyDescent="0.25">
      <c r="A367" s="1">
        <v>44875</v>
      </c>
      <c r="B367">
        <v>47</v>
      </c>
      <c r="C367">
        <v>4</v>
      </c>
      <c r="D367">
        <v>0.01</v>
      </c>
      <c r="E367">
        <v>7.0000000000000007E-2</v>
      </c>
      <c r="F367">
        <v>12.5</v>
      </c>
      <c r="G367" s="5">
        <v>0</v>
      </c>
      <c r="H367">
        <v>-0.5</v>
      </c>
      <c r="I367">
        <v>1.1000000000000001</v>
      </c>
      <c r="J367">
        <v>1.4</v>
      </c>
      <c r="M367">
        <v>1</v>
      </c>
      <c r="N367">
        <v>1</v>
      </c>
      <c r="O367">
        <v>2</v>
      </c>
      <c r="P367" t="s">
        <v>118</v>
      </c>
    </row>
    <row r="368" spans="1:16" x14ac:dyDescent="0.25">
      <c r="A368" s="1">
        <v>44875</v>
      </c>
      <c r="B368">
        <v>47</v>
      </c>
      <c r="C368">
        <v>5</v>
      </c>
      <c r="D368">
        <v>0.01</v>
      </c>
      <c r="E368">
        <v>7.0000000000000007E-2</v>
      </c>
      <c r="F368">
        <v>12.5</v>
      </c>
      <c r="G368" s="5">
        <v>0</v>
      </c>
      <c r="H368">
        <v>-0.5</v>
      </c>
      <c r="I368">
        <v>1.1000000000000001</v>
      </c>
      <c r="J368">
        <v>1.4</v>
      </c>
      <c r="M368">
        <v>1</v>
      </c>
      <c r="N368">
        <v>1</v>
      </c>
      <c r="O368">
        <v>3</v>
      </c>
      <c r="P368" t="s">
        <v>345</v>
      </c>
    </row>
    <row r="369" spans="1:16" x14ac:dyDescent="0.25">
      <c r="A369" s="1">
        <v>44875</v>
      </c>
      <c r="B369">
        <v>47</v>
      </c>
      <c r="C369">
        <v>6</v>
      </c>
      <c r="D369">
        <v>0.01</v>
      </c>
      <c r="E369">
        <v>7.0000000000000007E-2</v>
      </c>
      <c r="F369">
        <v>12.5</v>
      </c>
      <c r="G369" s="5">
        <v>0</v>
      </c>
      <c r="H369">
        <v>-0.5</v>
      </c>
      <c r="I369">
        <v>1.1000000000000001</v>
      </c>
      <c r="J369">
        <v>1.4</v>
      </c>
      <c r="M369">
        <v>1</v>
      </c>
      <c r="N369">
        <v>1</v>
      </c>
      <c r="O369">
        <v>2</v>
      </c>
      <c r="P369" t="s">
        <v>346</v>
      </c>
    </row>
    <row r="370" spans="1:16" x14ac:dyDescent="0.25">
      <c r="A370" s="1">
        <v>44875</v>
      </c>
      <c r="B370">
        <v>47</v>
      </c>
      <c r="C370">
        <v>7</v>
      </c>
      <c r="D370">
        <v>0.01</v>
      </c>
      <c r="E370">
        <v>7.0000000000000007E-2</v>
      </c>
      <c r="F370">
        <v>12.5</v>
      </c>
      <c r="G370" s="5">
        <v>0</v>
      </c>
      <c r="H370">
        <v>-0.5</v>
      </c>
      <c r="I370">
        <v>1.1000000000000001</v>
      </c>
      <c r="J370">
        <v>1.4</v>
      </c>
      <c r="M370">
        <v>1</v>
      </c>
      <c r="N370">
        <v>1</v>
      </c>
      <c r="O370">
        <v>3</v>
      </c>
      <c r="P370" t="s">
        <v>347</v>
      </c>
    </row>
    <row r="371" spans="1:16" x14ac:dyDescent="0.25">
      <c r="A371" s="1">
        <v>44875</v>
      </c>
      <c r="B371">
        <v>47</v>
      </c>
      <c r="C371">
        <v>8</v>
      </c>
      <c r="D371">
        <v>0.01</v>
      </c>
      <c r="E371">
        <v>7.0000000000000007E-2</v>
      </c>
      <c r="F371">
        <v>12.5</v>
      </c>
      <c r="G371" s="5">
        <v>0</v>
      </c>
      <c r="H371">
        <v>-0.5</v>
      </c>
      <c r="I371">
        <v>1.1000000000000001</v>
      </c>
      <c r="J371">
        <v>1.4</v>
      </c>
      <c r="M371">
        <v>1</v>
      </c>
      <c r="N371">
        <v>1</v>
      </c>
      <c r="O371">
        <v>2</v>
      </c>
      <c r="P371" t="s">
        <v>121</v>
      </c>
    </row>
    <row r="372" spans="1:16" x14ac:dyDescent="0.25">
      <c r="A372" s="1">
        <v>44875</v>
      </c>
      <c r="B372">
        <v>47</v>
      </c>
      <c r="C372">
        <v>9</v>
      </c>
      <c r="D372">
        <v>0.01</v>
      </c>
      <c r="E372">
        <v>7.0000000000000007E-2</v>
      </c>
      <c r="F372">
        <v>12.5</v>
      </c>
      <c r="G372" s="5">
        <v>0</v>
      </c>
      <c r="H372">
        <v>-0.5</v>
      </c>
      <c r="I372">
        <v>1.1000000000000001</v>
      </c>
      <c r="J372">
        <v>1.4</v>
      </c>
      <c r="M372">
        <v>1</v>
      </c>
      <c r="N372">
        <v>1</v>
      </c>
      <c r="O372">
        <v>2</v>
      </c>
      <c r="P372" t="s">
        <v>123</v>
      </c>
    </row>
    <row r="373" spans="1:16" x14ac:dyDescent="0.25">
      <c r="A373" s="1">
        <v>44875</v>
      </c>
      <c r="B373">
        <v>47</v>
      </c>
      <c r="C373">
        <v>10</v>
      </c>
      <c r="D373">
        <v>0.02</v>
      </c>
      <c r="E373">
        <v>0.14000000000000001</v>
      </c>
      <c r="F373">
        <v>6.25</v>
      </c>
      <c r="G373" s="5">
        <v>0</v>
      </c>
      <c r="H373">
        <v>-0.5</v>
      </c>
      <c r="I373">
        <v>1.2</v>
      </c>
      <c r="J373">
        <v>1.2</v>
      </c>
      <c r="M373">
        <v>1</v>
      </c>
      <c r="N373">
        <v>1</v>
      </c>
      <c r="O373">
        <v>2</v>
      </c>
      <c r="P373" t="s">
        <v>79</v>
      </c>
    </row>
    <row r="374" spans="1:16" x14ac:dyDescent="0.25">
      <c r="A374" s="1">
        <v>44875</v>
      </c>
      <c r="B374">
        <v>47</v>
      </c>
      <c r="C374">
        <v>11</v>
      </c>
      <c r="D374">
        <v>0.02</v>
      </c>
      <c r="E374">
        <v>0.14000000000000001</v>
      </c>
      <c r="F374">
        <v>6.25</v>
      </c>
      <c r="G374" s="5">
        <v>0</v>
      </c>
      <c r="H374">
        <v>-0.5</v>
      </c>
      <c r="I374">
        <v>1.2</v>
      </c>
      <c r="J374">
        <v>1.2</v>
      </c>
      <c r="M374">
        <v>1</v>
      </c>
      <c r="N374">
        <v>1</v>
      </c>
      <c r="O374">
        <v>0.5</v>
      </c>
      <c r="P374" t="s">
        <v>112</v>
      </c>
    </row>
    <row r="375" spans="1:16" x14ac:dyDescent="0.25">
      <c r="A375" s="1">
        <v>44875</v>
      </c>
      <c r="B375">
        <v>47</v>
      </c>
      <c r="C375">
        <v>12</v>
      </c>
      <c r="D375">
        <v>0.02</v>
      </c>
      <c r="E375">
        <v>0.14000000000000001</v>
      </c>
      <c r="F375">
        <v>6.25</v>
      </c>
      <c r="G375" s="5">
        <v>0</v>
      </c>
      <c r="H375">
        <v>-0.5</v>
      </c>
      <c r="I375">
        <v>1.2</v>
      </c>
      <c r="J375">
        <v>1.2</v>
      </c>
      <c r="M375">
        <v>1</v>
      </c>
      <c r="N375">
        <v>1</v>
      </c>
      <c r="P375" t="s">
        <v>80</v>
      </c>
    </row>
    <row r="376" spans="1:16" x14ac:dyDescent="0.25">
      <c r="A376" s="1">
        <v>44875</v>
      </c>
      <c r="B376">
        <v>47</v>
      </c>
      <c r="C376">
        <v>13</v>
      </c>
      <c r="D376">
        <v>0.02</v>
      </c>
      <c r="E376">
        <v>0.14000000000000001</v>
      </c>
      <c r="F376">
        <v>6.25</v>
      </c>
      <c r="G376" s="5">
        <v>0</v>
      </c>
      <c r="H376">
        <v>-0.5</v>
      </c>
      <c r="I376">
        <v>1.2</v>
      </c>
      <c r="J376">
        <v>1.2</v>
      </c>
      <c r="M376">
        <v>1</v>
      </c>
      <c r="N376">
        <v>1</v>
      </c>
      <c r="P376" t="s">
        <v>108</v>
      </c>
    </row>
    <row r="377" spans="1:16" x14ac:dyDescent="0.25">
      <c r="A377" s="1">
        <v>44875</v>
      </c>
      <c r="B377">
        <v>47</v>
      </c>
      <c r="C377">
        <v>14</v>
      </c>
      <c r="D377">
        <v>0.1</v>
      </c>
      <c r="E377">
        <v>0.7</v>
      </c>
      <c r="F377">
        <v>1.25</v>
      </c>
      <c r="G377" s="5">
        <v>0</v>
      </c>
      <c r="H377">
        <v>0</v>
      </c>
      <c r="I377">
        <v>1</v>
      </c>
      <c r="J377">
        <v>1.4</v>
      </c>
      <c r="M377">
        <v>1</v>
      </c>
      <c r="N377">
        <v>1</v>
      </c>
      <c r="O377">
        <v>1.5</v>
      </c>
      <c r="P377" t="s">
        <v>78</v>
      </c>
    </row>
    <row r="378" spans="1:16" x14ac:dyDescent="0.25">
      <c r="A378" s="1">
        <v>44875</v>
      </c>
      <c r="B378">
        <v>47</v>
      </c>
      <c r="C378">
        <v>15</v>
      </c>
      <c r="D378">
        <v>0.01</v>
      </c>
      <c r="E378">
        <v>7.0000000000000007E-2</v>
      </c>
      <c r="F378">
        <v>12.5</v>
      </c>
      <c r="G378" s="5">
        <v>0</v>
      </c>
      <c r="H378">
        <v>-0.5</v>
      </c>
      <c r="I378">
        <v>1.1000000000000001</v>
      </c>
      <c r="J378">
        <v>1.4</v>
      </c>
      <c r="M378">
        <v>1</v>
      </c>
      <c r="N378">
        <v>1</v>
      </c>
      <c r="O378">
        <v>1.5</v>
      </c>
      <c r="P378" t="s">
        <v>82</v>
      </c>
    </row>
    <row r="379" spans="1:16" x14ac:dyDescent="0.25">
      <c r="A379" s="1">
        <v>44875</v>
      </c>
      <c r="B379">
        <v>47</v>
      </c>
      <c r="C379">
        <v>16</v>
      </c>
      <c r="D379">
        <v>0.01</v>
      </c>
      <c r="E379">
        <v>7.0000000000000007E-2</v>
      </c>
      <c r="F379">
        <v>12.5</v>
      </c>
      <c r="G379" s="5">
        <v>1</v>
      </c>
      <c r="H379">
        <v>-0.5</v>
      </c>
      <c r="I379">
        <v>1.1000000000000001</v>
      </c>
      <c r="J379">
        <v>1.4</v>
      </c>
      <c r="M379">
        <v>1</v>
      </c>
      <c r="N379">
        <v>1</v>
      </c>
      <c r="P379" t="s">
        <v>89</v>
      </c>
    </row>
    <row r="380" spans="1:16" x14ac:dyDescent="0.25">
      <c r="A380" s="1">
        <v>44875</v>
      </c>
      <c r="B380">
        <v>47</v>
      </c>
      <c r="C380">
        <v>17</v>
      </c>
      <c r="D380">
        <v>0.02</v>
      </c>
      <c r="E380">
        <v>0.14000000000000001</v>
      </c>
      <c r="F380">
        <v>6.25</v>
      </c>
      <c r="G380" s="5">
        <v>0</v>
      </c>
      <c r="H380">
        <v>-0.5</v>
      </c>
      <c r="I380">
        <v>1.2</v>
      </c>
      <c r="J380">
        <v>1.2</v>
      </c>
      <c r="M380">
        <v>1</v>
      </c>
      <c r="N380">
        <v>1</v>
      </c>
      <c r="P380" t="s">
        <v>90</v>
      </c>
    </row>
    <row r="381" spans="1:16" x14ac:dyDescent="0.25">
      <c r="A381" s="1">
        <v>44880</v>
      </c>
      <c r="B381">
        <v>48</v>
      </c>
      <c r="C381">
        <v>5</v>
      </c>
      <c r="D381">
        <v>0.01</v>
      </c>
      <c r="E381">
        <v>7.0000000000000007E-2</v>
      </c>
      <c r="F381">
        <v>12.5</v>
      </c>
      <c r="G381" s="5">
        <v>0</v>
      </c>
      <c r="H381">
        <v>0</v>
      </c>
      <c r="I381">
        <v>1</v>
      </c>
      <c r="J381">
        <v>1.4</v>
      </c>
      <c r="M381">
        <v>1</v>
      </c>
      <c r="N381">
        <v>1</v>
      </c>
      <c r="O381">
        <v>0.5</v>
      </c>
      <c r="P381" t="s">
        <v>111</v>
      </c>
    </row>
    <row r="382" spans="1:16" x14ac:dyDescent="0.25">
      <c r="A382" s="1">
        <v>44880</v>
      </c>
      <c r="B382">
        <v>48</v>
      </c>
      <c r="C382">
        <v>6</v>
      </c>
      <c r="D382">
        <v>0.01</v>
      </c>
      <c r="E382">
        <v>7.0000000000000007E-2</v>
      </c>
      <c r="F382">
        <v>12.5</v>
      </c>
      <c r="G382" s="5">
        <v>0</v>
      </c>
      <c r="H382">
        <v>-0.5</v>
      </c>
      <c r="I382">
        <v>1.1000000000000001</v>
      </c>
      <c r="J382">
        <v>1.4</v>
      </c>
      <c r="M382">
        <v>1</v>
      </c>
      <c r="N382">
        <v>1</v>
      </c>
      <c r="O382">
        <v>3</v>
      </c>
      <c r="P382" t="s">
        <v>118</v>
      </c>
    </row>
    <row r="383" spans="1:16" x14ac:dyDescent="0.25">
      <c r="A383" s="1">
        <v>44880</v>
      </c>
      <c r="B383">
        <v>48</v>
      </c>
      <c r="C383">
        <v>7</v>
      </c>
      <c r="D383">
        <v>0.01</v>
      </c>
      <c r="E383">
        <v>7.0000000000000007E-2</v>
      </c>
      <c r="F383">
        <v>12.5</v>
      </c>
      <c r="G383" s="5">
        <v>0</v>
      </c>
      <c r="H383">
        <v>-0.5</v>
      </c>
      <c r="I383">
        <v>1.1000000000000001</v>
      </c>
      <c r="J383">
        <v>1.4</v>
      </c>
      <c r="M383">
        <v>1</v>
      </c>
      <c r="N383">
        <v>1</v>
      </c>
      <c r="O383">
        <v>3</v>
      </c>
      <c r="P383" t="s">
        <v>348</v>
      </c>
    </row>
    <row r="384" spans="1:16" x14ac:dyDescent="0.25">
      <c r="A384" s="1">
        <v>44880</v>
      </c>
      <c r="B384">
        <v>48</v>
      </c>
      <c r="C384">
        <v>8</v>
      </c>
      <c r="D384">
        <v>0.01</v>
      </c>
      <c r="E384">
        <v>7.0000000000000007E-2</v>
      </c>
      <c r="F384">
        <v>12.5</v>
      </c>
      <c r="G384" s="5">
        <v>0</v>
      </c>
      <c r="H384">
        <v>-0.5</v>
      </c>
      <c r="I384">
        <v>1.1000000000000001</v>
      </c>
      <c r="J384">
        <v>1.4</v>
      </c>
      <c r="M384">
        <v>1</v>
      </c>
      <c r="N384">
        <v>1</v>
      </c>
      <c r="O384">
        <v>3</v>
      </c>
      <c r="P384" t="s">
        <v>349</v>
      </c>
    </row>
    <row r="385" spans="1:16" x14ac:dyDescent="0.25">
      <c r="A385" s="1">
        <v>44880</v>
      </c>
      <c r="B385">
        <v>48</v>
      </c>
      <c r="C385">
        <v>9</v>
      </c>
      <c r="D385">
        <v>0.01</v>
      </c>
      <c r="E385">
        <v>7.0000000000000007E-2</v>
      </c>
      <c r="F385">
        <v>12.5</v>
      </c>
      <c r="G385" s="5">
        <v>0</v>
      </c>
      <c r="H385">
        <v>-0.5</v>
      </c>
      <c r="I385">
        <v>1.1000000000000001</v>
      </c>
      <c r="J385">
        <v>1.4</v>
      </c>
      <c r="M385">
        <v>1</v>
      </c>
      <c r="N385">
        <v>1</v>
      </c>
      <c r="O385">
        <v>3</v>
      </c>
      <c r="P385" t="s">
        <v>350</v>
      </c>
    </row>
    <row r="386" spans="1:16" x14ac:dyDescent="0.25">
      <c r="A386" s="1">
        <v>44880</v>
      </c>
      <c r="B386">
        <v>48</v>
      </c>
      <c r="C386">
        <v>10</v>
      </c>
      <c r="D386">
        <v>0.01</v>
      </c>
      <c r="E386">
        <v>7.0000000000000007E-2</v>
      </c>
      <c r="F386">
        <v>12.5</v>
      </c>
      <c r="G386" s="5">
        <v>0</v>
      </c>
      <c r="H386">
        <v>-0.5</v>
      </c>
      <c r="I386">
        <v>1.1000000000000001</v>
      </c>
      <c r="J386">
        <v>1.4</v>
      </c>
      <c r="M386">
        <v>1</v>
      </c>
      <c r="N386">
        <v>1</v>
      </c>
      <c r="O386">
        <v>3</v>
      </c>
      <c r="P386" t="s">
        <v>122</v>
      </c>
    </row>
    <row r="387" spans="1:16" x14ac:dyDescent="0.25">
      <c r="A387" s="1">
        <v>44880</v>
      </c>
      <c r="B387">
        <v>48</v>
      </c>
      <c r="C387">
        <v>11</v>
      </c>
      <c r="D387">
        <v>0.01</v>
      </c>
      <c r="E387">
        <v>7.0000000000000007E-2</v>
      </c>
      <c r="F387">
        <v>12.5</v>
      </c>
      <c r="G387" s="5">
        <v>0</v>
      </c>
      <c r="H387">
        <v>-0.5</v>
      </c>
      <c r="I387">
        <v>1.1000000000000001</v>
      </c>
      <c r="J387">
        <v>1.4</v>
      </c>
      <c r="M387">
        <v>1</v>
      </c>
      <c r="N387">
        <v>1</v>
      </c>
      <c r="O387">
        <v>3</v>
      </c>
      <c r="P387" t="s">
        <v>124</v>
      </c>
    </row>
    <row r="388" spans="1:16" x14ac:dyDescent="0.25">
      <c r="A388" s="1">
        <v>44880</v>
      </c>
      <c r="B388">
        <v>48</v>
      </c>
      <c r="C388">
        <v>12</v>
      </c>
      <c r="D388">
        <v>0.02</v>
      </c>
      <c r="E388">
        <v>0.14000000000000001</v>
      </c>
      <c r="F388">
        <v>6.25</v>
      </c>
      <c r="G388" s="5">
        <v>0</v>
      </c>
      <c r="H388">
        <v>-0.5</v>
      </c>
      <c r="I388">
        <v>1.2</v>
      </c>
      <c r="J388">
        <v>1.2</v>
      </c>
      <c r="M388">
        <v>1</v>
      </c>
      <c r="N388">
        <v>1</v>
      </c>
      <c r="O388">
        <v>0.5</v>
      </c>
      <c r="P388" t="s">
        <v>79</v>
      </c>
    </row>
    <row r="389" spans="1:16" x14ac:dyDescent="0.25">
      <c r="A389" s="1">
        <v>44880</v>
      </c>
      <c r="B389">
        <v>48</v>
      </c>
      <c r="C389">
        <v>13</v>
      </c>
      <c r="D389">
        <v>0.02</v>
      </c>
      <c r="E389">
        <v>0.14000000000000001</v>
      </c>
      <c r="F389">
        <v>6.25</v>
      </c>
      <c r="G389" s="5">
        <v>0</v>
      </c>
      <c r="H389">
        <v>-0.5</v>
      </c>
      <c r="I389">
        <v>1.2</v>
      </c>
      <c r="J389">
        <v>1.2</v>
      </c>
      <c r="M389">
        <v>1</v>
      </c>
      <c r="N389">
        <v>1</v>
      </c>
      <c r="P389" t="s">
        <v>80</v>
      </c>
    </row>
    <row r="390" spans="1:16" x14ac:dyDescent="0.25">
      <c r="A390" s="1">
        <v>44880</v>
      </c>
      <c r="B390">
        <v>48</v>
      </c>
      <c r="C390">
        <v>14</v>
      </c>
      <c r="D390">
        <v>0.02</v>
      </c>
      <c r="E390">
        <v>0.14000000000000001</v>
      </c>
      <c r="F390">
        <v>6.25</v>
      </c>
      <c r="G390" s="5">
        <v>0</v>
      </c>
      <c r="H390">
        <v>-0.5</v>
      </c>
      <c r="I390">
        <v>1.2</v>
      </c>
      <c r="J390">
        <v>1.2</v>
      </c>
      <c r="M390">
        <v>1</v>
      </c>
      <c r="N390">
        <v>1</v>
      </c>
      <c r="P390" t="s">
        <v>108</v>
      </c>
    </row>
    <row r="391" spans="1:16" x14ac:dyDescent="0.25">
      <c r="A391" s="1">
        <v>44880</v>
      </c>
      <c r="B391">
        <v>48</v>
      </c>
      <c r="C391">
        <v>15</v>
      </c>
      <c r="D391">
        <v>0.01</v>
      </c>
      <c r="E391">
        <v>7.0000000000000007E-2</v>
      </c>
      <c r="F391">
        <v>12.5</v>
      </c>
      <c r="G391" s="5">
        <v>0</v>
      </c>
      <c r="H391">
        <v>-0.5</v>
      </c>
      <c r="I391">
        <v>1.1000000000000001</v>
      </c>
      <c r="J391">
        <v>1.4</v>
      </c>
      <c r="M391">
        <v>1</v>
      </c>
      <c r="N391">
        <v>1</v>
      </c>
      <c r="O391">
        <v>3</v>
      </c>
      <c r="P391" t="s">
        <v>91</v>
      </c>
    </row>
    <row r="392" spans="1:16" x14ac:dyDescent="0.25">
      <c r="A392" s="1">
        <v>44880</v>
      </c>
      <c r="B392">
        <v>48</v>
      </c>
      <c r="C392">
        <v>16</v>
      </c>
      <c r="D392">
        <v>0.01</v>
      </c>
      <c r="E392">
        <v>7.0000000000000007E-2</v>
      </c>
      <c r="F392">
        <v>12.5</v>
      </c>
      <c r="G392" s="5">
        <v>0</v>
      </c>
      <c r="H392">
        <v>-0.5</v>
      </c>
      <c r="I392">
        <v>1.1000000000000001</v>
      </c>
      <c r="J392">
        <v>1.4</v>
      </c>
      <c r="M392">
        <v>1</v>
      </c>
      <c r="N392">
        <v>1</v>
      </c>
      <c r="O392">
        <v>3</v>
      </c>
      <c r="P392" t="s">
        <v>92</v>
      </c>
    </row>
    <row r="393" spans="1:16" x14ac:dyDescent="0.25">
      <c r="A393" s="1">
        <v>44880</v>
      </c>
      <c r="B393">
        <v>48</v>
      </c>
      <c r="C393">
        <v>17</v>
      </c>
      <c r="D393">
        <v>0.01</v>
      </c>
      <c r="E393">
        <v>7.0000000000000007E-2</v>
      </c>
      <c r="F393">
        <v>12.5</v>
      </c>
      <c r="G393" s="5">
        <v>0</v>
      </c>
      <c r="H393">
        <v>-0.5</v>
      </c>
      <c r="I393">
        <v>1.1000000000000001</v>
      </c>
      <c r="J393">
        <v>1.4</v>
      </c>
      <c r="M393">
        <v>1</v>
      </c>
      <c r="N393">
        <v>1</v>
      </c>
      <c r="O393">
        <v>3</v>
      </c>
      <c r="P393" t="s">
        <v>93</v>
      </c>
    </row>
    <row r="394" spans="1:16" x14ac:dyDescent="0.25">
      <c r="A394" s="1">
        <v>44880</v>
      </c>
      <c r="B394">
        <v>48</v>
      </c>
      <c r="C394">
        <v>18</v>
      </c>
      <c r="D394">
        <v>0.01</v>
      </c>
      <c r="E394">
        <v>7.0000000000000007E-2</v>
      </c>
      <c r="F394">
        <v>12.5</v>
      </c>
      <c r="G394" s="5">
        <v>0</v>
      </c>
      <c r="H394">
        <v>-0.5</v>
      </c>
      <c r="I394">
        <v>1.1000000000000001</v>
      </c>
      <c r="J394">
        <v>1.4</v>
      </c>
      <c r="M394">
        <v>1</v>
      </c>
      <c r="N394">
        <v>1</v>
      </c>
      <c r="O394">
        <v>3</v>
      </c>
      <c r="P394" t="s">
        <v>94</v>
      </c>
    </row>
    <row r="395" spans="1:16" x14ac:dyDescent="0.25">
      <c r="A395" s="1">
        <v>44880</v>
      </c>
      <c r="B395">
        <v>48</v>
      </c>
      <c r="C395">
        <v>19</v>
      </c>
      <c r="D395">
        <v>0.01</v>
      </c>
      <c r="E395">
        <v>7.0000000000000007E-2</v>
      </c>
      <c r="F395">
        <v>12.5</v>
      </c>
      <c r="G395" s="5">
        <v>0</v>
      </c>
      <c r="H395">
        <v>-0.5</v>
      </c>
      <c r="I395">
        <v>1</v>
      </c>
      <c r="J395">
        <v>1.4</v>
      </c>
      <c r="M395">
        <v>1</v>
      </c>
      <c r="N395">
        <v>1</v>
      </c>
      <c r="O395">
        <v>3</v>
      </c>
      <c r="P395" t="s">
        <v>359</v>
      </c>
    </row>
    <row r="396" spans="1:16" x14ac:dyDescent="0.25">
      <c r="A396" s="1">
        <v>44880</v>
      </c>
      <c r="B396">
        <v>48</v>
      </c>
      <c r="C396">
        <v>20</v>
      </c>
      <c r="D396">
        <v>0.01</v>
      </c>
      <c r="E396">
        <v>7.0000000000000007E-2</v>
      </c>
      <c r="F396">
        <v>12.5</v>
      </c>
      <c r="G396" s="5">
        <v>0</v>
      </c>
      <c r="H396">
        <v>-0.5</v>
      </c>
      <c r="I396">
        <v>1</v>
      </c>
      <c r="J396">
        <v>1.4</v>
      </c>
      <c r="M396">
        <v>1</v>
      </c>
      <c r="N396">
        <v>1</v>
      </c>
      <c r="O396">
        <v>3</v>
      </c>
      <c r="P396" t="s">
        <v>95</v>
      </c>
    </row>
    <row r="397" spans="1:16" x14ac:dyDescent="0.25">
      <c r="A397" s="1">
        <v>44880</v>
      </c>
      <c r="B397">
        <v>48</v>
      </c>
      <c r="C397">
        <v>21</v>
      </c>
      <c r="D397">
        <v>0.01</v>
      </c>
      <c r="E397">
        <v>7.0000000000000007E-2</v>
      </c>
      <c r="F397">
        <v>12.5</v>
      </c>
      <c r="G397" s="5">
        <v>0</v>
      </c>
      <c r="H397">
        <v>-0.5</v>
      </c>
      <c r="I397">
        <v>1.1000000000000001</v>
      </c>
      <c r="J397">
        <v>0.8</v>
      </c>
      <c r="M397">
        <v>1</v>
      </c>
      <c r="N397">
        <v>1</v>
      </c>
      <c r="P397" t="s">
        <v>96</v>
      </c>
    </row>
    <row r="398" spans="1:16" x14ac:dyDescent="0.25">
      <c r="A398" s="1">
        <v>44880</v>
      </c>
      <c r="B398">
        <v>48</v>
      </c>
      <c r="C398">
        <v>22</v>
      </c>
      <c r="D398">
        <v>0.01</v>
      </c>
      <c r="E398">
        <v>7.0000000000000007E-2</v>
      </c>
      <c r="F398">
        <v>12.5</v>
      </c>
      <c r="G398" s="5">
        <v>0</v>
      </c>
      <c r="H398">
        <v>-0.5</v>
      </c>
      <c r="I398">
        <v>1.1000000000000001</v>
      </c>
      <c r="J398">
        <v>1.4</v>
      </c>
      <c r="M398">
        <v>1</v>
      </c>
      <c r="N398">
        <v>1</v>
      </c>
      <c r="O398">
        <v>3</v>
      </c>
      <c r="P398" t="s">
        <v>82</v>
      </c>
    </row>
    <row r="399" spans="1:16" x14ac:dyDescent="0.25">
      <c r="A399" s="1">
        <v>44880</v>
      </c>
      <c r="B399">
        <v>48</v>
      </c>
      <c r="C399">
        <v>23</v>
      </c>
      <c r="D399">
        <v>0.02</v>
      </c>
      <c r="E399">
        <v>0.14000000000000001</v>
      </c>
      <c r="F399">
        <v>6.25</v>
      </c>
      <c r="G399" s="5">
        <v>1</v>
      </c>
      <c r="H399">
        <v>-0.5</v>
      </c>
      <c r="I399">
        <v>1.2</v>
      </c>
      <c r="J399">
        <v>1.2</v>
      </c>
      <c r="M399">
        <v>1</v>
      </c>
      <c r="N399">
        <v>1</v>
      </c>
      <c r="P399" t="s">
        <v>97</v>
      </c>
    </row>
    <row r="400" spans="1:16" x14ac:dyDescent="0.25">
      <c r="A400" s="1">
        <v>44880</v>
      </c>
      <c r="B400">
        <v>48</v>
      </c>
      <c r="C400">
        <v>32</v>
      </c>
      <c r="D400">
        <v>0.01</v>
      </c>
      <c r="E400">
        <v>7.0000000000000007E-2</v>
      </c>
      <c r="F400">
        <v>12.5</v>
      </c>
      <c r="G400" s="5">
        <v>0</v>
      </c>
      <c r="H400">
        <v>-0.5</v>
      </c>
      <c r="I400">
        <v>1.1000000000000001</v>
      </c>
      <c r="J400">
        <v>1.4</v>
      </c>
      <c r="M400">
        <v>1</v>
      </c>
      <c r="N400">
        <v>1</v>
      </c>
      <c r="P400" t="s">
        <v>107</v>
      </c>
    </row>
    <row r="401" spans="1:16" x14ac:dyDescent="0.25">
      <c r="A401" s="1">
        <v>44880</v>
      </c>
      <c r="B401">
        <v>48</v>
      </c>
      <c r="C401">
        <v>33</v>
      </c>
      <c r="D401">
        <v>0.01</v>
      </c>
      <c r="E401">
        <v>7.0000000000000007E-2</v>
      </c>
      <c r="F401">
        <v>12.5</v>
      </c>
      <c r="G401" s="5">
        <v>0</v>
      </c>
      <c r="H401">
        <v>-0.5</v>
      </c>
      <c r="I401">
        <v>1.1000000000000001</v>
      </c>
      <c r="J401">
        <v>1.4</v>
      </c>
      <c r="M401">
        <v>1</v>
      </c>
      <c r="N401">
        <v>1</v>
      </c>
      <c r="P401" t="s">
        <v>80</v>
      </c>
    </row>
    <row r="402" spans="1:16" x14ac:dyDescent="0.25">
      <c r="A402" s="1">
        <v>44880</v>
      </c>
      <c r="B402">
        <v>48</v>
      </c>
      <c r="C402">
        <v>34</v>
      </c>
      <c r="D402">
        <v>0.01</v>
      </c>
      <c r="E402">
        <v>7.0000000000000007E-2</v>
      </c>
      <c r="F402">
        <v>12.5</v>
      </c>
      <c r="G402" s="5">
        <v>0</v>
      </c>
      <c r="H402">
        <v>-0.5</v>
      </c>
      <c r="I402">
        <v>1.1000000000000001</v>
      </c>
      <c r="J402">
        <v>1.4</v>
      </c>
      <c r="M402">
        <v>1</v>
      </c>
      <c r="N402">
        <v>1</v>
      </c>
      <c r="P402" t="s">
        <v>108</v>
      </c>
    </row>
    <row r="403" spans="1:16" x14ac:dyDescent="0.25">
      <c r="A403" s="1">
        <v>44880</v>
      </c>
      <c r="B403">
        <v>48</v>
      </c>
      <c r="C403">
        <v>35</v>
      </c>
      <c r="D403">
        <v>0.01</v>
      </c>
      <c r="E403">
        <v>7.0000000000000007E-2</v>
      </c>
      <c r="F403">
        <v>12.5</v>
      </c>
      <c r="G403" s="5">
        <v>1</v>
      </c>
      <c r="H403">
        <v>-0.5</v>
      </c>
      <c r="I403">
        <v>1.1000000000000001</v>
      </c>
      <c r="J403">
        <v>1.4</v>
      </c>
      <c r="M403">
        <v>1</v>
      </c>
      <c r="N403">
        <v>1</v>
      </c>
      <c r="P403" t="s">
        <v>113</v>
      </c>
    </row>
    <row r="404" spans="1:16" x14ac:dyDescent="0.25">
      <c r="A404" s="1">
        <v>44882</v>
      </c>
      <c r="B404">
        <v>49</v>
      </c>
      <c r="C404">
        <v>11</v>
      </c>
      <c r="D404">
        <v>0.01</v>
      </c>
      <c r="E404">
        <v>7.0000000000000007E-2</v>
      </c>
      <c r="F404">
        <v>12.5</v>
      </c>
      <c r="G404" s="5">
        <v>0</v>
      </c>
      <c r="H404">
        <v>-0.5</v>
      </c>
      <c r="I404">
        <v>1.1000000000000001</v>
      </c>
      <c r="J404">
        <v>1.4</v>
      </c>
      <c r="M404">
        <v>1</v>
      </c>
      <c r="N404">
        <v>1</v>
      </c>
      <c r="P404" t="s">
        <v>98</v>
      </c>
    </row>
    <row r="405" spans="1:16" x14ac:dyDescent="0.25">
      <c r="A405" s="1">
        <v>44882</v>
      </c>
      <c r="B405">
        <v>49</v>
      </c>
      <c r="C405">
        <v>12</v>
      </c>
      <c r="D405">
        <v>0.01</v>
      </c>
      <c r="E405">
        <v>7.0000000000000007E-2</v>
      </c>
      <c r="F405">
        <v>12.5</v>
      </c>
      <c r="G405" s="5">
        <v>0</v>
      </c>
      <c r="H405">
        <v>-0.5</v>
      </c>
      <c r="I405">
        <v>1.1000000000000001</v>
      </c>
      <c r="J405">
        <v>1.4</v>
      </c>
      <c r="M405">
        <v>1</v>
      </c>
      <c r="N405">
        <v>1</v>
      </c>
      <c r="O405">
        <v>2</v>
      </c>
      <c r="P405" t="s">
        <v>118</v>
      </c>
    </row>
    <row r="406" spans="1:16" x14ac:dyDescent="0.25">
      <c r="A406" s="1">
        <v>44882</v>
      </c>
      <c r="B406">
        <v>49</v>
      </c>
      <c r="C406">
        <v>13</v>
      </c>
      <c r="D406">
        <v>0.01</v>
      </c>
      <c r="E406">
        <v>7.0000000000000007E-2</v>
      </c>
      <c r="F406">
        <v>12.5</v>
      </c>
      <c r="G406" s="5">
        <v>0</v>
      </c>
      <c r="H406">
        <v>-0.5</v>
      </c>
      <c r="I406">
        <v>1.1000000000000001</v>
      </c>
      <c r="J406">
        <v>1.4</v>
      </c>
      <c r="M406">
        <v>1</v>
      </c>
      <c r="N406">
        <v>1</v>
      </c>
      <c r="P406" t="s">
        <v>99</v>
      </c>
    </row>
    <row r="407" spans="1:16" x14ac:dyDescent="0.25">
      <c r="A407" s="1">
        <v>44882</v>
      </c>
      <c r="B407">
        <v>49</v>
      </c>
      <c r="C407">
        <v>14</v>
      </c>
      <c r="D407">
        <v>0.01</v>
      </c>
      <c r="E407">
        <v>7.0000000000000007E-2</v>
      </c>
      <c r="F407">
        <v>12.5</v>
      </c>
      <c r="G407" s="5">
        <v>0</v>
      </c>
      <c r="H407">
        <v>-0.5</v>
      </c>
      <c r="I407">
        <v>1.1000000000000001</v>
      </c>
      <c r="J407">
        <v>1.4</v>
      </c>
      <c r="M407">
        <v>1</v>
      </c>
      <c r="N407">
        <v>1</v>
      </c>
      <c r="P407" t="s">
        <v>100</v>
      </c>
    </row>
    <row r="408" spans="1:16" x14ac:dyDescent="0.25">
      <c r="A408" s="1">
        <v>44887</v>
      </c>
      <c r="B408">
        <v>50</v>
      </c>
      <c r="C408">
        <v>12</v>
      </c>
      <c r="D408">
        <v>0.01</v>
      </c>
      <c r="E408">
        <v>7.0000000000000007E-2</v>
      </c>
      <c r="F408">
        <v>12.5</v>
      </c>
      <c r="G408" s="5">
        <v>0</v>
      </c>
      <c r="H408">
        <v>-0.5</v>
      </c>
      <c r="I408">
        <v>1.1000000000000001</v>
      </c>
      <c r="J408">
        <v>0.6</v>
      </c>
      <c r="M408">
        <v>1</v>
      </c>
      <c r="N408">
        <v>1</v>
      </c>
      <c r="O408">
        <v>3</v>
      </c>
      <c r="P408" t="s">
        <v>300</v>
      </c>
    </row>
    <row r="409" spans="1:16" x14ac:dyDescent="0.25">
      <c r="A409" s="1">
        <v>44887</v>
      </c>
      <c r="B409">
        <v>50</v>
      </c>
      <c r="C409">
        <v>13</v>
      </c>
      <c r="D409">
        <v>0.01</v>
      </c>
      <c r="E409">
        <v>7.0000000000000007E-2</v>
      </c>
      <c r="F409">
        <v>12.5</v>
      </c>
      <c r="G409" s="5">
        <v>0</v>
      </c>
      <c r="H409">
        <v>-0.5</v>
      </c>
      <c r="I409">
        <v>1.1000000000000001</v>
      </c>
      <c r="J409">
        <v>1.4</v>
      </c>
      <c r="M409">
        <v>1</v>
      </c>
      <c r="N409">
        <v>1</v>
      </c>
      <c r="O409">
        <v>3</v>
      </c>
      <c r="P409" t="s">
        <v>118</v>
      </c>
    </row>
    <row r="410" spans="1:16" x14ac:dyDescent="0.25">
      <c r="A410" s="1">
        <v>44887</v>
      </c>
      <c r="B410">
        <v>50</v>
      </c>
      <c r="C410">
        <v>14</v>
      </c>
      <c r="D410">
        <v>0.01</v>
      </c>
      <c r="E410">
        <v>7.0000000000000007E-2</v>
      </c>
      <c r="F410">
        <v>12.5</v>
      </c>
      <c r="G410" s="5">
        <v>0</v>
      </c>
      <c r="H410">
        <v>-0.5</v>
      </c>
      <c r="I410">
        <v>1.1000000000000001</v>
      </c>
      <c r="J410">
        <v>1.4</v>
      </c>
      <c r="M410">
        <v>1</v>
      </c>
      <c r="N410">
        <v>1</v>
      </c>
      <c r="O410">
        <v>3</v>
      </c>
      <c r="P410" t="s">
        <v>351</v>
      </c>
    </row>
    <row r="411" spans="1:16" x14ac:dyDescent="0.25">
      <c r="A411" s="1">
        <v>44887</v>
      </c>
      <c r="B411">
        <v>50</v>
      </c>
      <c r="C411">
        <v>15</v>
      </c>
      <c r="D411">
        <v>0.01</v>
      </c>
      <c r="E411">
        <v>7.0000000000000007E-2</v>
      </c>
      <c r="F411">
        <v>12.5</v>
      </c>
      <c r="G411" s="5">
        <v>0</v>
      </c>
      <c r="H411">
        <v>-0.5</v>
      </c>
      <c r="I411">
        <v>1.1000000000000001</v>
      </c>
      <c r="J411">
        <v>1.4</v>
      </c>
      <c r="M411">
        <v>1</v>
      </c>
      <c r="N411">
        <v>1</v>
      </c>
      <c r="O411">
        <v>3</v>
      </c>
      <c r="P411" t="s">
        <v>349</v>
      </c>
    </row>
    <row r="412" spans="1:16" x14ac:dyDescent="0.25">
      <c r="A412" s="1">
        <v>44887</v>
      </c>
      <c r="B412">
        <v>50</v>
      </c>
      <c r="C412">
        <v>16</v>
      </c>
      <c r="D412">
        <v>0.01</v>
      </c>
      <c r="E412">
        <v>7.0000000000000007E-2</v>
      </c>
      <c r="F412">
        <v>12.5</v>
      </c>
      <c r="G412" s="5">
        <v>0</v>
      </c>
      <c r="H412">
        <v>-0.5</v>
      </c>
      <c r="I412">
        <v>1.1000000000000001</v>
      </c>
      <c r="J412">
        <v>1.4</v>
      </c>
      <c r="M412">
        <v>1</v>
      </c>
      <c r="N412">
        <v>1</v>
      </c>
      <c r="O412">
        <v>3</v>
      </c>
      <c r="P412" t="s">
        <v>350</v>
      </c>
    </row>
    <row r="413" spans="1:16" x14ac:dyDescent="0.25">
      <c r="A413" s="1">
        <v>44887</v>
      </c>
      <c r="B413">
        <v>50</v>
      </c>
      <c r="C413">
        <v>17</v>
      </c>
      <c r="D413">
        <v>0.01</v>
      </c>
      <c r="E413">
        <v>7.0000000000000007E-2</v>
      </c>
      <c r="F413">
        <v>12.5</v>
      </c>
      <c r="G413" s="5">
        <v>0</v>
      </c>
      <c r="H413">
        <v>-0.5</v>
      </c>
      <c r="I413">
        <v>1.1000000000000001</v>
      </c>
      <c r="J413">
        <v>1.4</v>
      </c>
      <c r="M413">
        <v>1</v>
      </c>
      <c r="N413">
        <v>1</v>
      </c>
      <c r="O413">
        <v>3</v>
      </c>
      <c r="P413" t="s">
        <v>122</v>
      </c>
    </row>
    <row r="414" spans="1:16" x14ac:dyDescent="0.25">
      <c r="A414" s="1">
        <v>44887</v>
      </c>
      <c r="B414">
        <v>50</v>
      </c>
      <c r="C414">
        <v>18</v>
      </c>
      <c r="D414">
        <v>0.01</v>
      </c>
      <c r="E414">
        <v>7.0000000000000007E-2</v>
      </c>
      <c r="F414">
        <v>12.5</v>
      </c>
      <c r="G414" s="5">
        <v>0</v>
      </c>
      <c r="H414">
        <v>-0.5</v>
      </c>
      <c r="I414">
        <v>1.1000000000000001</v>
      </c>
      <c r="J414">
        <v>1.4</v>
      </c>
      <c r="M414">
        <v>1</v>
      </c>
      <c r="N414">
        <v>1</v>
      </c>
      <c r="O414">
        <v>3</v>
      </c>
      <c r="P414" t="s">
        <v>124</v>
      </c>
    </row>
    <row r="415" spans="1:16" x14ac:dyDescent="0.25">
      <c r="A415" s="1">
        <v>44887</v>
      </c>
      <c r="B415">
        <v>50</v>
      </c>
      <c r="C415">
        <v>19</v>
      </c>
      <c r="D415">
        <v>0.02</v>
      </c>
      <c r="E415">
        <v>0.14000000000000001</v>
      </c>
      <c r="F415">
        <v>6.25</v>
      </c>
      <c r="G415" s="5">
        <v>0</v>
      </c>
      <c r="H415">
        <v>-0.5</v>
      </c>
      <c r="I415">
        <v>1.2</v>
      </c>
      <c r="J415">
        <v>1.2</v>
      </c>
      <c r="M415">
        <v>1</v>
      </c>
      <c r="N415">
        <v>1</v>
      </c>
      <c r="O415">
        <v>3</v>
      </c>
      <c r="P415" t="s">
        <v>79</v>
      </c>
    </row>
    <row r="416" spans="1:16" x14ac:dyDescent="0.25">
      <c r="A416" s="1">
        <v>44887</v>
      </c>
      <c r="B416">
        <v>50</v>
      </c>
      <c r="C416">
        <v>20</v>
      </c>
      <c r="D416">
        <v>0.02</v>
      </c>
      <c r="E416">
        <v>0.14000000000000001</v>
      </c>
      <c r="F416">
        <v>6.25</v>
      </c>
      <c r="G416" s="5">
        <v>0</v>
      </c>
      <c r="H416">
        <v>-0.5</v>
      </c>
      <c r="I416">
        <v>1.2</v>
      </c>
      <c r="J416">
        <v>1.2</v>
      </c>
      <c r="M416">
        <v>1</v>
      </c>
      <c r="N416">
        <v>1</v>
      </c>
      <c r="P416" t="s">
        <v>80</v>
      </c>
    </row>
    <row r="417" spans="1:16" x14ac:dyDescent="0.25">
      <c r="A417" s="1">
        <v>44887</v>
      </c>
      <c r="B417">
        <v>50</v>
      </c>
      <c r="C417">
        <v>21</v>
      </c>
      <c r="D417">
        <v>0.02</v>
      </c>
      <c r="E417">
        <v>0.14000000000000001</v>
      </c>
      <c r="F417">
        <v>6.25</v>
      </c>
      <c r="G417" s="5">
        <v>0</v>
      </c>
      <c r="H417">
        <v>-0.5</v>
      </c>
      <c r="I417">
        <v>1.2</v>
      </c>
      <c r="J417">
        <v>1.2</v>
      </c>
      <c r="M417">
        <v>1</v>
      </c>
      <c r="N417">
        <v>1</v>
      </c>
      <c r="P417" t="s">
        <v>108</v>
      </c>
    </row>
    <row r="418" spans="1:16" x14ac:dyDescent="0.25">
      <c r="A418" s="1">
        <v>44887</v>
      </c>
      <c r="B418">
        <v>50</v>
      </c>
      <c r="C418">
        <v>22</v>
      </c>
      <c r="D418">
        <v>0.01</v>
      </c>
      <c r="E418">
        <v>7.0000000000000007E-2</v>
      </c>
      <c r="F418">
        <v>12.5</v>
      </c>
      <c r="G418" s="5">
        <v>0</v>
      </c>
      <c r="H418">
        <v>-0.5</v>
      </c>
      <c r="I418">
        <v>1.1000000000000001</v>
      </c>
      <c r="J418">
        <v>1.4</v>
      </c>
      <c r="M418">
        <v>1</v>
      </c>
      <c r="N418">
        <v>1</v>
      </c>
      <c r="O418">
        <v>3</v>
      </c>
      <c r="P418" t="s">
        <v>97</v>
      </c>
    </row>
    <row r="419" spans="1:16" x14ac:dyDescent="0.25">
      <c r="A419" s="1">
        <v>44887</v>
      </c>
      <c r="B419">
        <v>50</v>
      </c>
      <c r="C419">
        <v>23</v>
      </c>
      <c r="D419">
        <v>0.01</v>
      </c>
      <c r="E419">
        <v>7.0000000000000007E-2</v>
      </c>
      <c r="F419">
        <v>12.5</v>
      </c>
      <c r="G419" s="5">
        <v>0</v>
      </c>
      <c r="H419">
        <v>-0.5</v>
      </c>
      <c r="I419">
        <v>1.1000000000000001</v>
      </c>
      <c r="J419">
        <v>1.4</v>
      </c>
      <c r="M419">
        <v>1</v>
      </c>
      <c r="N419">
        <v>1</v>
      </c>
      <c r="O419">
        <v>3</v>
      </c>
      <c r="P419" t="s">
        <v>91</v>
      </c>
    </row>
    <row r="420" spans="1:16" x14ac:dyDescent="0.25">
      <c r="A420" s="1">
        <v>44887</v>
      </c>
      <c r="B420">
        <v>50</v>
      </c>
      <c r="C420">
        <v>24</v>
      </c>
      <c r="D420">
        <v>0.01</v>
      </c>
      <c r="E420">
        <v>7.0000000000000007E-2</v>
      </c>
      <c r="F420">
        <v>12.5</v>
      </c>
      <c r="G420" s="5">
        <v>0</v>
      </c>
      <c r="H420">
        <v>-0.5</v>
      </c>
      <c r="I420">
        <v>1.1000000000000001</v>
      </c>
      <c r="J420">
        <v>1.4</v>
      </c>
      <c r="M420">
        <v>1</v>
      </c>
      <c r="N420">
        <v>1</v>
      </c>
      <c r="O420">
        <v>3</v>
      </c>
      <c r="P420" t="s">
        <v>93</v>
      </c>
    </row>
    <row r="421" spans="1:16" x14ac:dyDescent="0.25">
      <c r="A421" s="1">
        <v>44887</v>
      </c>
      <c r="B421">
        <v>50</v>
      </c>
      <c r="C421">
        <v>25</v>
      </c>
      <c r="D421">
        <v>0.01</v>
      </c>
      <c r="E421">
        <v>7.0000000000000007E-2</v>
      </c>
      <c r="F421">
        <v>12.5</v>
      </c>
      <c r="G421" s="5">
        <v>0</v>
      </c>
      <c r="H421">
        <v>-0.5</v>
      </c>
      <c r="I421">
        <v>1.1000000000000001</v>
      </c>
      <c r="J421">
        <v>1.4</v>
      </c>
      <c r="M421">
        <v>1</v>
      </c>
      <c r="N421">
        <v>1</v>
      </c>
      <c r="O421">
        <v>3</v>
      </c>
      <c r="P421" t="s">
        <v>94</v>
      </c>
    </row>
    <row r="422" spans="1:16" x14ac:dyDescent="0.25">
      <c r="A422" s="1">
        <v>44887</v>
      </c>
      <c r="B422">
        <v>50</v>
      </c>
      <c r="C422">
        <v>26</v>
      </c>
      <c r="D422">
        <v>0.01</v>
      </c>
      <c r="E422">
        <v>7.0000000000000007E-2</v>
      </c>
      <c r="F422">
        <v>12.5</v>
      </c>
      <c r="G422" s="5">
        <v>0</v>
      </c>
      <c r="H422">
        <v>-0.5</v>
      </c>
      <c r="I422">
        <v>1.1000000000000001</v>
      </c>
      <c r="J422">
        <v>1.4</v>
      </c>
      <c r="M422">
        <v>1</v>
      </c>
      <c r="N422">
        <v>1</v>
      </c>
      <c r="O422">
        <v>3</v>
      </c>
      <c r="P422" t="s">
        <v>359</v>
      </c>
    </row>
    <row r="423" spans="1:16" x14ac:dyDescent="0.25">
      <c r="A423" s="1">
        <v>44887</v>
      </c>
      <c r="B423">
        <v>50</v>
      </c>
      <c r="C423">
        <v>27</v>
      </c>
      <c r="D423">
        <v>0.01</v>
      </c>
      <c r="E423">
        <v>7.0000000000000007E-2</v>
      </c>
      <c r="F423">
        <v>12.5</v>
      </c>
      <c r="G423" s="5">
        <v>0</v>
      </c>
      <c r="H423">
        <v>-0.5</v>
      </c>
      <c r="I423">
        <v>1.1000000000000001</v>
      </c>
      <c r="J423">
        <v>1.4</v>
      </c>
      <c r="M423">
        <v>1</v>
      </c>
      <c r="N423">
        <v>1</v>
      </c>
      <c r="O423">
        <v>3</v>
      </c>
      <c r="P423" t="s">
        <v>95</v>
      </c>
    </row>
    <row r="424" spans="1:16" x14ac:dyDescent="0.25">
      <c r="A424" s="1">
        <v>44887</v>
      </c>
      <c r="B424">
        <v>50</v>
      </c>
      <c r="C424">
        <v>28</v>
      </c>
      <c r="D424">
        <v>0.01</v>
      </c>
      <c r="E424">
        <v>7.0000000000000007E-2</v>
      </c>
      <c r="F424">
        <v>12.5</v>
      </c>
      <c r="G424" s="5">
        <v>0</v>
      </c>
      <c r="H424">
        <v>-0.5</v>
      </c>
      <c r="I424">
        <v>1.1000000000000001</v>
      </c>
      <c r="J424">
        <v>1.4</v>
      </c>
      <c r="M424">
        <v>1</v>
      </c>
      <c r="N424">
        <v>1</v>
      </c>
      <c r="O424">
        <v>3</v>
      </c>
      <c r="P424" t="s">
        <v>92</v>
      </c>
    </row>
    <row r="425" spans="1:16" x14ac:dyDescent="0.25">
      <c r="A425" s="1">
        <v>44887</v>
      </c>
      <c r="B425">
        <v>50</v>
      </c>
      <c r="C425">
        <v>29</v>
      </c>
      <c r="D425">
        <v>0.01</v>
      </c>
      <c r="E425">
        <v>7.0000000000000007E-2</v>
      </c>
      <c r="F425">
        <v>12.5</v>
      </c>
      <c r="G425" s="5">
        <v>0</v>
      </c>
      <c r="H425">
        <v>-0.5</v>
      </c>
      <c r="I425">
        <v>1.1000000000000001</v>
      </c>
      <c r="J425">
        <v>1.4</v>
      </c>
      <c r="M425">
        <v>1</v>
      </c>
      <c r="N425">
        <v>1</v>
      </c>
      <c r="P425" t="s">
        <v>101</v>
      </c>
    </row>
    <row r="426" spans="1:16" x14ac:dyDescent="0.25">
      <c r="A426" s="1">
        <v>44887</v>
      </c>
      <c r="B426">
        <v>50</v>
      </c>
      <c r="C426">
        <v>30</v>
      </c>
      <c r="D426">
        <v>0.01</v>
      </c>
      <c r="E426">
        <v>7.0000000000000007E-2</v>
      </c>
      <c r="F426">
        <v>12.5</v>
      </c>
      <c r="G426" s="5">
        <v>0</v>
      </c>
      <c r="H426">
        <v>-0.5</v>
      </c>
      <c r="I426">
        <v>1.1000000000000001</v>
      </c>
      <c r="J426">
        <v>1.4</v>
      </c>
      <c r="M426">
        <v>1</v>
      </c>
      <c r="N426">
        <v>1</v>
      </c>
      <c r="P426" t="s">
        <v>104</v>
      </c>
    </row>
    <row r="427" spans="1:16" x14ac:dyDescent="0.25">
      <c r="A427" s="1">
        <v>44887</v>
      </c>
      <c r="B427">
        <v>50</v>
      </c>
      <c r="C427">
        <v>33</v>
      </c>
      <c r="D427">
        <v>0.01</v>
      </c>
      <c r="E427">
        <v>7.0000000000000007E-2</v>
      </c>
      <c r="F427">
        <v>12.5</v>
      </c>
      <c r="G427" s="5">
        <v>0</v>
      </c>
      <c r="H427">
        <v>0</v>
      </c>
      <c r="I427">
        <v>1.1000000000000001</v>
      </c>
      <c r="J427">
        <v>1.4</v>
      </c>
      <c r="M427">
        <v>1</v>
      </c>
      <c r="N427">
        <v>1</v>
      </c>
      <c r="P427" t="s">
        <v>101</v>
      </c>
    </row>
    <row r="428" spans="1:16" x14ac:dyDescent="0.25">
      <c r="A428" s="1">
        <v>44887</v>
      </c>
      <c r="B428">
        <v>50</v>
      </c>
      <c r="C428">
        <v>34</v>
      </c>
      <c r="D428">
        <v>0.01</v>
      </c>
      <c r="E428">
        <v>7.0000000000000007E-2</v>
      </c>
      <c r="F428">
        <v>12.5</v>
      </c>
      <c r="G428" s="5">
        <v>0</v>
      </c>
      <c r="H428">
        <v>0</v>
      </c>
      <c r="I428">
        <v>1.1000000000000001</v>
      </c>
      <c r="J428">
        <v>1.4</v>
      </c>
      <c r="M428">
        <v>1</v>
      </c>
      <c r="N428">
        <v>1</v>
      </c>
      <c r="P428" t="s">
        <v>105</v>
      </c>
    </row>
    <row r="429" spans="1:16" x14ac:dyDescent="0.25">
      <c r="A429" s="1">
        <v>44888</v>
      </c>
      <c r="B429">
        <v>51</v>
      </c>
      <c r="C429">
        <v>11</v>
      </c>
      <c r="D429">
        <v>0.01</v>
      </c>
      <c r="E429">
        <v>7.0000000000000007E-2</v>
      </c>
      <c r="F429">
        <v>12.5</v>
      </c>
      <c r="G429" s="5">
        <v>0</v>
      </c>
      <c r="H429">
        <v>0</v>
      </c>
      <c r="I429">
        <v>1.1000000000000001</v>
      </c>
      <c r="J429">
        <v>1.4</v>
      </c>
      <c r="M429">
        <v>1</v>
      </c>
      <c r="N429">
        <v>1</v>
      </c>
      <c r="O429">
        <v>1.5</v>
      </c>
      <c r="P429" t="s">
        <v>112</v>
      </c>
    </row>
    <row r="430" spans="1:16" x14ac:dyDescent="0.25">
      <c r="A430" s="1">
        <v>44888</v>
      </c>
      <c r="B430">
        <v>51</v>
      </c>
      <c r="C430">
        <v>12</v>
      </c>
      <c r="D430">
        <v>0.01</v>
      </c>
      <c r="E430">
        <v>7.0000000000000007E-2</v>
      </c>
      <c r="F430">
        <v>12.5</v>
      </c>
      <c r="G430" s="5">
        <v>0</v>
      </c>
      <c r="H430">
        <v>0</v>
      </c>
      <c r="I430">
        <v>1.1000000000000001</v>
      </c>
      <c r="J430">
        <v>1.4</v>
      </c>
      <c r="M430">
        <v>1</v>
      </c>
      <c r="N430">
        <v>1</v>
      </c>
      <c r="O430">
        <v>1.5</v>
      </c>
      <c r="P430" t="s">
        <v>118</v>
      </c>
    </row>
    <row r="431" spans="1:16" x14ac:dyDescent="0.25">
      <c r="A431" s="1">
        <v>44888</v>
      </c>
      <c r="B431">
        <v>51</v>
      </c>
      <c r="C431">
        <v>13</v>
      </c>
      <c r="D431">
        <v>0.01</v>
      </c>
      <c r="E431">
        <v>7.0000000000000007E-2</v>
      </c>
      <c r="F431">
        <v>12.5</v>
      </c>
      <c r="G431" s="5">
        <v>0</v>
      </c>
      <c r="H431">
        <v>0</v>
      </c>
      <c r="I431">
        <v>1.1000000000000001</v>
      </c>
      <c r="J431">
        <v>1.4</v>
      </c>
      <c r="M431">
        <v>1</v>
      </c>
      <c r="N431">
        <v>1</v>
      </c>
      <c r="O431">
        <v>1.5</v>
      </c>
      <c r="P431" t="s">
        <v>348</v>
      </c>
    </row>
    <row r="432" spans="1:16" x14ac:dyDescent="0.25">
      <c r="A432" s="1">
        <v>44888</v>
      </c>
      <c r="B432">
        <v>51</v>
      </c>
      <c r="C432">
        <v>14</v>
      </c>
      <c r="D432">
        <v>0.01</v>
      </c>
      <c r="E432">
        <v>7.0000000000000007E-2</v>
      </c>
      <c r="F432">
        <v>12.5</v>
      </c>
      <c r="G432" s="5">
        <v>0</v>
      </c>
      <c r="H432">
        <v>0</v>
      </c>
      <c r="I432">
        <v>1.1000000000000001</v>
      </c>
      <c r="J432">
        <v>1.4</v>
      </c>
      <c r="M432">
        <v>1</v>
      </c>
      <c r="N432">
        <v>1</v>
      </c>
      <c r="O432">
        <v>1.5</v>
      </c>
      <c r="P432" t="s">
        <v>349</v>
      </c>
    </row>
    <row r="433" spans="1:16" x14ac:dyDescent="0.25">
      <c r="A433" s="1">
        <v>44888</v>
      </c>
      <c r="B433">
        <v>51</v>
      </c>
      <c r="C433">
        <v>15</v>
      </c>
      <c r="D433">
        <v>0.01</v>
      </c>
      <c r="E433">
        <v>7.0000000000000007E-2</v>
      </c>
      <c r="F433">
        <v>12.5</v>
      </c>
      <c r="G433" s="5">
        <v>0</v>
      </c>
      <c r="H433">
        <v>0</v>
      </c>
      <c r="I433">
        <v>1.1000000000000001</v>
      </c>
      <c r="J433">
        <v>1.4</v>
      </c>
      <c r="M433">
        <v>1</v>
      </c>
      <c r="N433">
        <v>1</v>
      </c>
      <c r="O433">
        <v>1.5</v>
      </c>
      <c r="P433" t="s">
        <v>350</v>
      </c>
    </row>
    <row r="434" spans="1:16" x14ac:dyDescent="0.25">
      <c r="A434" s="1">
        <v>44888</v>
      </c>
      <c r="B434">
        <v>51</v>
      </c>
      <c r="C434">
        <v>16</v>
      </c>
      <c r="D434">
        <v>0.01</v>
      </c>
      <c r="E434">
        <v>7.0000000000000007E-2</v>
      </c>
      <c r="F434">
        <v>12.5</v>
      </c>
      <c r="G434" s="5">
        <v>0</v>
      </c>
      <c r="H434">
        <v>0</v>
      </c>
      <c r="I434">
        <v>1.1000000000000001</v>
      </c>
      <c r="J434">
        <v>1.4</v>
      </c>
      <c r="M434">
        <v>1</v>
      </c>
      <c r="N434">
        <v>1</v>
      </c>
      <c r="O434">
        <v>1.5</v>
      </c>
      <c r="P434" t="s">
        <v>122</v>
      </c>
    </row>
    <row r="435" spans="1:16" x14ac:dyDescent="0.25">
      <c r="A435" s="1">
        <v>44888</v>
      </c>
      <c r="B435">
        <v>51</v>
      </c>
      <c r="C435">
        <v>17</v>
      </c>
      <c r="D435">
        <v>0.01</v>
      </c>
      <c r="E435">
        <v>7.0000000000000007E-2</v>
      </c>
      <c r="F435">
        <v>12.5</v>
      </c>
      <c r="G435" s="5">
        <v>0</v>
      </c>
      <c r="H435">
        <v>0</v>
      </c>
      <c r="I435">
        <v>1.1000000000000001</v>
      </c>
      <c r="J435">
        <v>1.4</v>
      </c>
      <c r="M435">
        <v>1</v>
      </c>
      <c r="N435">
        <v>1</v>
      </c>
      <c r="O435">
        <v>1.5</v>
      </c>
      <c r="P435" t="s">
        <v>124</v>
      </c>
    </row>
    <row r="436" spans="1:16" x14ac:dyDescent="0.25">
      <c r="A436" s="1">
        <v>44888</v>
      </c>
      <c r="B436">
        <v>51</v>
      </c>
      <c r="C436">
        <v>18</v>
      </c>
      <c r="D436">
        <v>0.02</v>
      </c>
      <c r="E436">
        <v>0.14000000000000001</v>
      </c>
      <c r="F436">
        <v>6.25</v>
      </c>
      <c r="G436" s="5">
        <v>0</v>
      </c>
      <c r="H436">
        <v>-0.5</v>
      </c>
      <c r="I436">
        <v>1.2</v>
      </c>
      <c r="J436">
        <v>1.2</v>
      </c>
      <c r="M436">
        <v>1</v>
      </c>
      <c r="N436">
        <v>1</v>
      </c>
      <c r="O436">
        <v>2</v>
      </c>
      <c r="P436" t="s">
        <v>79</v>
      </c>
    </row>
    <row r="437" spans="1:16" x14ac:dyDescent="0.25">
      <c r="A437" s="1">
        <v>44888</v>
      </c>
      <c r="B437">
        <v>51</v>
      </c>
      <c r="C437">
        <v>19</v>
      </c>
      <c r="D437">
        <v>0.02</v>
      </c>
      <c r="E437">
        <v>0.14000000000000001</v>
      </c>
      <c r="F437">
        <v>6.25</v>
      </c>
      <c r="G437" s="5">
        <v>0</v>
      </c>
      <c r="H437">
        <v>-0.5</v>
      </c>
      <c r="I437">
        <v>1.2</v>
      </c>
      <c r="J437">
        <v>1.2</v>
      </c>
      <c r="M437">
        <v>1</v>
      </c>
      <c r="N437">
        <v>1</v>
      </c>
      <c r="P437" t="s">
        <v>80</v>
      </c>
    </row>
    <row r="438" spans="1:16" x14ac:dyDescent="0.25">
      <c r="A438" s="1">
        <v>44888</v>
      </c>
      <c r="B438">
        <v>51</v>
      </c>
      <c r="C438">
        <v>20</v>
      </c>
      <c r="D438">
        <v>0.02</v>
      </c>
      <c r="E438">
        <v>0.14000000000000001</v>
      </c>
      <c r="F438">
        <v>6.25</v>
      </c>
      <c r="G438" s="5">
        <v>0</v>
      </c>
      <c r="H438">
        <v>-0.5</v>
      </c>
      <c r="I438">
        <v>1.2</v>
      </c>
      <c r="J438">
        <v>1.2</v>
      </c>
      <c r="M438">
        <v>1</v>
      </c>
      <c r="N438">
        <v>1</v>
      </c>
      <c r="P438" t="s">
        <v>108</v>
      </c>
    </row>
    <row r="439" spans="1:16" x14ac:dyDescent="0.25">
      <c r="A439" s="1">
        <v>44888</v>
      </c>
      <c r="B439">
        <v>51</v>
      </c>
      <c r="C439">
        <v>21</v>
      </c>
      <c r="D439">
        <v>0.01</v>
      </c>
      <c r="E439">
        <v>7.0000000000000007E-2</v>
      </c>
      <c r="F439">
        <v>12.5</v>
      </c>
      <c r="G439" s="5">
        <v>0</v>
      </c>
      <c r="H439">
        <v>0</v>
      </c>
      <c r="I439">
        <v>1.1000000000000001</v>
      </c>
      <c r="J439">
        <v>1.4</v>
      </c>
      <c r="M439">
        <v>1</v>
      </c>
      <c r="N439">
        <v>1</v>
      </c>
      <c r="O439">
        <v>3</v>
      </c>
      <c r="P439" t="s">
        <v>91</v>
      </c>
    </row>
    <row r="440" spans="1:16" x14ac:dyDescent="0.25">
      <c r="A440" s="1">
        <v>44888</v>
      </c>
      <c r="B440">
        <v>51</v>
      </c>
      <c r="C440">
        <v>22</v>
      </c>
      <c r="D440">
        <v>0.01</v>
      </c>
      <c r="E440">
        <v>7.0000000000000007E-2</v>
      </c>
      <c r="F440">
        <v>12.5</v>
      </c>
      <c r="G440" s="5">
        <v>0</v>
      </c>
      <c r="H440">
        <v>0</v>
      </c>
      <c r="I440">
        <v>1.1000000000000001</v>
      </c>
      <c r="J440">
        <v>1.4</v>
      </c>
      <c r="M440">
        <v>1</v>
      </c>
      <c r="N440">
        <v>1</v>
      </c>
      <c r="O440">
        <v>3</v>
      </c>
      <c r="P440" t="s">
        <v>359</v>
      </c>
    </row>
    <row r="441" spans="1:16" x14ac:dyDescent="0.25">
      <c r="A441" s="1">
        <v>44888</v>
      </c>
      <c r="B441">
        <v>51</v>
      </c>
      <c r="C441">
        <v>23</v>
      </c>
      <c r="D441">
        <v>0.01</v>
      </c>
      <c r="E441">
        <v>7.0000000000000007E-2</v>
      </c>
      <c r="F441">
        <v>12.5</v>
      </c>
      <c r="G441" s="5">
        <v>0</v>
      </c>
      <c r="H441">
        <v>0</v>
      </c>
      <c r="I441">
        <v>1.1000000000000001</v>
      </c>
      <c r="J441">
        <v>1.4</v>
      </c>
      <c r="M441">
        <v>1</v>
      </c>
      <c r="N441">
        <v>1</v>
      </c>
      <c r="O441">
        <v>3</v>
      </c>
      <c r="P441" t="s">
        <v>95</v>
      </c>
    </row>
    <row r="442" spans="1:16" x14ac:dyDescent="0.25">
      <c r="A442" s="1">
        <v>44888</v>
      </c>
      <c r="B442">
        <v>51</v>
      </c>
      <c r="C442">
        <v>24</v>
      </c>
      <c r="D442">
        <v>0.01</v>
      </c>
      <c r="E442">
        <v>7.0000000000000007E-2</v>
      </c>
      <c r="F442">
        <v>12.5</v>
      </c>
      <c r="G442" s="5">
        <v>0</v>
      </c>
      <c r="H442">
        <v>0</v>
      </c>
      <c r="I442">
        <v>1</v>
      </c>
      <c r="J442">
        <v>1.4</v>
      </c>
      <c r="M442">
        <v>1</v>
      </c>
      <c r="N442">
        <v>1</v>
      </c>
      <c r="O442">
        <v>3</v>
      </c>
      <c r="P442" t="s">
        <v>94</v>
      </c>
    </row>
    <row r="443" spans="1:16" x14ac:dyDescent="0.25">
      <c r="A443" s="1">
        <v>44888</v>
      </c>
      <c r="B443">
        <v>51</v>
      </c>
      <c r="C443">
        <v>25</v>
      </c>
      <c r="D443">
        <v>0.01</v>
      </c>
      <c r="E443">
        <v>7.0000000000000007E-2</v>
      </c>
      <c r="F443">
        <v>12.5</v>
      </c>
      <c r="G443" s="5">
        <v>0</v>
      </c>
      <c r="H443">
        <v>0</v>
      </c>
      <c r="I443">
        <v>1.1000000000000001</v>
      </c>
      <c r="J443">
        <v>1.4</v>
      </c>
      <c r="M443">
        <v>1</v>
      </c>
      <c r="N443">
        <v>1</v>
      </c>
      <c r="O443">
        <v>3</v>
      </c>
      <c r="P443" t="s">
        <v>93</v>
      </c>
    </row>
    <row r="444" spans="1:16" x14ac:dyDescent="0.25">
      <c r="A444" s="1">
        <v>44888</v>
      </c>
      <c r="B444">
        <v>51</v>
      </c>
      <c r="C444">
        <v>26</v>
      </c>
      <c r="D444">
        <v>0.01</v>
      </c>
      <c r="E444">
        <v>7.0000000000000007E-2</v>
      </c>
      <c r="F444">
        <v>12.5</v>
      </c>
      <c r="G444" s="5">
        <v>0</v>
      </c>
      <c r="H444">
        <v>0</v>
      </c>
      <c r="I444">
        <v>1.1000000000000001</v>
      </c>
      <c r="J444">
        <v>1.4</v>
      </c>
      <c r="M444">
        <v>1</v>
      </c>
      <c r="N444">
        <v>1</v>
      </c>
      <c r="P444" t="s">
        <v>102</v>
      </c>
    </row>
    <row r="445" spans="1:16" x14ac:dyDescent="0.25">
      <c r="A445" s="1">
        <v>44888</v>
      </c>
      <c r="B445">
        <v>51</v>
      </c>
      <c r="C445">
        <v>27</v>
      </c>
      <c r="D445">
        <v>0.01</v>
      </c>
      <c r="E445">
        <v>7.0000000000000007E-2</v>
      </c>
      <c r="F445">
        <v>12.5</v>
      </c>
      <c r="G445" s="5">
        <v>0</v>
      </c>
      <c r="H445">
        <v>0</v>
      </c>
      <c r="I445">
        <v>1.1000000000000001</v>
      </c>
      <c r="J445">
        <v>1.4</v>
      </c>
      <c r="M445">
        <v>1</v>
      </c>
      <c r="N445">
        <v>1</v>
      </c>
      <c r="P445" t="s">
        <v>106</v>
      </c>
    </row>
    <row r="446" spans="1:16" s="5" customFormat="1" x14ac:dyDescent="0.25">
      <c r="A446" s="6">
        <v>44916</v>
      </c>
      <c r="B446" s="5">
        <v>52</v>
      </c>
      <c r="C446" s="5">
        <v>5</v>
      </c>
      <c r="D446" s="5">
        <v>0.01</v>
      </c>
      <c r="E446" s="5">
        <v>7.0000000000000007E-2</v>
      </c>
      <c r="F446" s="5">
        <v>12.5</v>
      </c>
      <c r="G446" s="5">
        <v>0</v>
      </c>
      <c r="H446" s="5">
        <v>0</v>
      </c>
      <c r="I446" s="5">
        <v>1.1000000000000001</v>
      </c>
      <c r="J446" s="5">
        <v>1.4</v>
      </c>
      <c r="M446" s="5">
        <v>1</v>
      </c>
      <c r="N446" s="5">
        <v>1</v>
      </c>
      <c r="P446" s="5" t="s">
        <v>125</v>
      </c>
    </row>
    <row r="447" spans="1:16" s="5" customFormat="1" x14ac:dyDescent="0.25">
      <c r="A447" s="6">
        <v>44916</v>
      </c>
      <c r="B447" s="5">
        <v>52</v>
      </c>
      <c r="C447" s="5">
        <v>6</v>
      </c>
      <c r="D447" s="5">
        <v>0.01</v>
      </c>
      <c r="E447" s="5">
        <v>7.0000000000000007E-2</v>
      </c>
      <c r="F447" s="5">
        <v>12.5</v>
      </c>
      <c r="G447" s="5">
        <v>0</v>
      </c>
      <c r="H447" s="5">
        <v>0</v>
      </c>
      <c r="I447" s="5">
        <v>1.1000000000000001</v>
      </c>
      <c r="J447" s="5">
        <v>1.4</v>
      </c>
      <c r="M447" s="5">
        <v>1</v>
      </c>
      <c r="N447" s="5">
        <v>1</v>
      </c>
      <c r="P447" s="5" t="s">
        <v>131</v>
      </c>
    </row>
    <row r="448" spans="1:16" s="5" customFormat="1" x14ac:dyDescent="0.25">
      <c r="A448" s="6">
        <v>44916</v>
      </c>
      <c r="B448" s="5">
        <v>52</v>
      </c>
      <c r="C448" s="5">
        <v>7</v>
      </c>
      <c r="D448" s="5">
        <v>0.01</v>
      </c>
      <c r="E448" s="5">
        <v>7.0000000000000007E-2</v>
      </c>
      <c r="F448" s="5">
        <v>12.5</v>
      </c>
      <c r="G448" s="5">
        <v>0</v>
      </c>
      <c r="H448" s="5">
        <v>0</v>
      </c>
      <c r="I448" s="5">
        <v>1.1000000000000001</v>
      </c>
      <c r="J448" s="5">
        <v>1.4</v>
      </c>
      <c r="M448" s="5">
        <v>1</v>
      </c>
      <c r="N448" s="5">
        <v>1</v>
      </c>
      <c r="P448" s="5" t="s">
        <v>126</v>
      </c>
    </row>
    <row r="449" spans="1:16" s="5" customFormat="1" x14ac:dyDescent="0.25">
      <c r="A449" s="6">
        <v>44916</v>
      </c>
      <c r="B449" s="5">
        <v>52</v>
      </c>
      <c r="C449" s="5">
        <v>8</v>
      </c>
      <c r="D449" s="5">
        <v>0.01</v>
      </c>
      <c r="E449" s="5">
        <v>7.0000000000000007E-2</v>
      </c>
      <c r="F449" s="5">
        <v>12.5</v>
      </c>
      <c r="G449" s="5">
        <v>0</v>
      </c>
      <c r="H449" s="5">
        <v>0</v>
      </c>
      <c r="I449" s="5">
        <v>1.1000000000000001</v>
      </c>
      <c r="J449" s="5">
        <v>1.4</v>
      </c>
      <c r="M449" s="5">
        <v>1</v>
      </c>
      <c r="N449" s="5">
        <v>1</v>
      </c>
      <c r="P449" s="5" t="s">
        <v>125</v>
      </c>
    </row>
    <row r="450" spans="1:16" s="5" customFormat="1" x14ac:dyDescent="0.25">
      <c r="A450" s="6">
        <v>44916</v>
      </c>
      <c r="B450" s="5">
        <v>52</v>
      </c>
      <c r="C450" s="5">
        <v>9</v>
      </c>
      <c r="D450" s="5">
        <v>0.01</v>
      </c>
      <c r="E450" s="5">
        <v>7.0000000000000007E-2</v>
      </c>
      <c r="F450" s="5">
        <v>12.5</v>
      </c>
      <c r="G450" s="5">
        <v>0</v>
      </c>
      <c r="H450" s="5">
        <v>0</v>
      </c>
      <c r="I450" s="5">
        <v>1.1000000000000001</v>
      </c>
      <c r="J450" s="5">
        <v>1.4</v>
      </c>
      <c r="M450" s="5">
        <v>1</v>
      </c>
      <c r="N450" s="5">
        <v>1</v>
      </c>
      <c r="P450" s="5" t="s">
        <v>135</v>
      </c>
    </row>
    <row r="451" spans="1:16" s="5" customFormat="1" x14ac:dyDescent="0.25">
      <c r="A451" s="6">
        <v>44916</v>
      </c>
      <c r="B451" s="5">
        <v>52</v>
      </c>
      <c r="C451" s="5">
        <v>10</v>
      </c>
      <c r="D451" s="5">
        <v>0.01</v>
      </c>
      <c r="E451" s="5">
        <v>7.0000000000000007E-2</v>
      </c>
      <c r="F451" s="5">
        <v>12.5</v>
      </c>
      <c r="G451" s="5">
        <v>0</v>
      </c>
      <c r="H451" s="5">
        <v>0</v>
      </c>
      <c r="I451" s="5">
        <v>1.1000000000000001</v>
      </c>
      <c r="J451" s="5">
        <v>1.4</v>
      </c>
      <c r="M451" s="5">
        <v>1</v>
      </c>
      <c r="N451" s="5">
        <v>1</v>
      </c>
      <c r="P451" s="5" t="s">
        <v>136</v>
      </c>
    </row>
    <row r="452" spans="1:16" s="5" customFormat="1" x14ac:dyDescent="0.25">
      <c r="A452" s="6">
        <v>44916</v>
      </c>
      <c r="B452" s="5">
        <v>53</v>
      </c>
      <c r="C452" s="5">
        <v>15</v>
      </c>
      <c r="D452" s="5">
        <v>0.01</v>
      </c>
      <c r="E452" s="5">
        <v>7.0000000000000007E-2</v>
      </c>
      <c r="F452" s="5">
        <v>12.5</v>
      </c>
      <c r="G452" s="5">
        <v>0</v>
      </c>
      <c r="H452" s="5">
        <v>0</v>
      </c>
      <c r="I452" s="5">
        <v>1.1000000000000001</v>
      </c>
      <c r="J452" s="5">
        <v>1.4</v>
      </c>
      <c r="M452" s="5">
        <v>1</v>
      </c>
      <c r="N452" s="5">
        <v>1</v>
      </c>
      <c r="P452" s="5" t="s">
        <v>135</v>
      </c>
    </row>
    <row r="453" spans="1:16" s="5" customFormat="1" x14ac:dyDescent="0.25">
      <c r="A453" s="6">
        <v>44916</v>
      </c>
      <c r="B453" s="5">
        <v>53</v>
      </c>
      <c r="C453" s="5">
        <v>16</v>
      </c>
      <c r="D453" s="5">
        <v>0.01</v>
      </c>
      <c r="E453" s="5">
        <v>7.0000000000000007E-2</v>
      </c>
      <c r="F453" s="5">
        <v>12.5</v>
      </c>
      <c r="G453" s="5">
        <v>0</v>
      </c>
      <c r="H453" s="5">
        <v>0</v>
      </c>
      <c r="I453" s="5">
        <v>1.1000000000000001</v>
      </c>
      <c r="J453" s="5">
        <v>1.4</v>
      </c>
      <c r="M453" s="5">
        <v>1</v>
      </c>
      <c r="N453" s="5">
        <v>1</v>
      </c>
      <c r="P453" s="5" t="s">
        <v>136</v>
      </c>
    </row>
    <row r="454" spans="1:16" s="5" customFormat="1" x14ac:dyDescent="0.25">
      <c r="A454" s="6">
        <v>44916</v>
      </c>
      <c r="B454" s="5">
        <v>53</v>
      </c>
      <c r="C454" s="5">
        <v>17</v>
      </c>
      <c r="D454" s="5">
        <v>0.01</v>
      </c>
      <c r="E454" s="5">
        <v>7.0000000000000007E-2</v>
      </c>
      <c r="F454" s="5">
        <v>12.5</v>
      </c>
      <c r="G454" s="5">
        <v>0</v>
      </c>
      <c r="H454" s="5">
        <v>0</v>
      </c>
      <c r="I454" s="5">
        <v>1.1000000000000001</v>
      </c>
      <c r="J454" s="5">
        <v>1.4</v>
      </c>
      <c r="M454" s="5">
        <v>1</v>
      </c>
      <c r="N454" s="5">
        <v>1</v>
      </c>
      <c r="P454" s="5" t="s">
        <v>127</v>
      </c>
    </row>
    <row r="455" spans="1:16" s="5" customFormat="1" x14ac:dyDescent="0.25">
      <c r="A455" s="6">
        <v>44916</v>
      </c>
      <c r="B455" s="5">
        <v>53</v>
      </c>
      <c r="C455" s="5">
        <v>18</v>
      </c>
      <c r="D455" s="5">
        <v>0.01</v>
      </c>
      <c r="E455" s="5">
        <v>7.0000000000000007E-2</v>
      </c>
      <c r="F455" s="5">
        <v>12.5</v>
      </c>
      <c r="G455" s="5">
        <v>0</v>
      </c>
      <c r="H455" s="5">
        <v>0</v>
      </c>
      <c r="I455" s="5">
        <v>1.1000000000000001</v>
      </c>
      <c r="J455" s="5">
        <v>1.4</v>
      </c>
      <c r="M455" s="5">
        <v>1</v>
      </c>
      <c r="N455" s="5">
        <v>1</v>
      </c>
      <c r="P455" s="5" t="s">
        <v>132</v>
      </c>
    </row>
    <row r="456" spans="1:16" s="5" customFormat="1" x14ac:dyDescent="0.25">
      <c r="A456" s="6">
        <v>44916</v>
      </c>
      <c r="B456" s="5">
        <v>53</v>
      </c>
      <c r="C456" s="5">
        <v>19</v>
      </c>
      <c r="D456" s="5">
        <v>0.01</v>
      </c>
      <c r="E456" s="5">
        <v>7.0000000000000007E-2</v>
      </c>
      <c r="F456" s="5">
        <v>12.5</v>
      </c>
      <c r="G456" s="5">
        <v>0</v>
      </c>
      <c r="H456" s="5">
        <v>0</v>
      </c>
      <c r="I456" s="5">
        <v>1.1000000000000001</v>
      </c>
      <c r="J456" s="5">
        <v>1.4</v>
      </c>
      <c r="M456" s="5">
        <v>1</v>
      </c>
      <c r="N456" s="5">
        <v>1</v>
      </c>
      <c r="P456" s="5" t="s">
        <v>128</v>
      </c>
    </row>
    <row r="457" spans="1:16" s="5" customFormat="1" x14ac:dyDescent="0.25">
      <c r="A457" s="6">
        <v>44916</v>
      </c>
      <c r="B457" s="5">
        <v>54</v>
      </c>
      <c r="C457" s="5">
        <v>25</v>
      </c>
      <c r="D457" s="5">
        <v>0.01</v>
      </c>
      <c r="E457" s="5">
        <v>7.0000000000000007E-2</v>
      </c>
      <c r="F457" s="5">
        <v>12.5</v>
      </c>
      <c r="G457" s="5">
        <v>0</v>
      </c>
      <c r="H457" s="5">
        <v>0</v>
      </c>
      <c r="I457" s="5">
        <v>1.1000000000000001</v>
      </c>
      <c r="J457" s="5">
        <v>1.4</v>
      </c>
      <c r="M457" s="5">
        <v>1</v>
      </c>
      <c r="N457" s="5">
        <v>1</v>
      </c>
      <c r="P457" s="5" t="s">
        <v>137</v>
      </c>
    </row>
    <row r="458" spans="1:16" s="5" customFormat="1" x14ac:dyDescent="0.25">
      <c r="A458" s="6">
        <v>44916</v>
      </c>
      <c r="B458" s="5">
        <v>54</v>
      </c>
      <c r="C458" s="5">
        <v>26</v>
      </c>
      <c r="D458" s="5">
        <v>0.01</v>
      </c>
      <c r="E458" s="5">
        <v>7.0000000000000007E-2</v>
      </c>
      <c r="F458" s="5">
        <v>12.5</v>
      </c>
      <c r="G458" s="5">
        <v>0</v>
      </c>
      <c r="H458" s="5">
        <v>0</v>
      </c>
      <c r="I458" s="5">
        <v>1.1000000000000001</v>
      </c>
      <c r="J458" s="5">
        <v>1.4</v>
      </c>
      <c r="M458" s="5">
        <v>1</v>
      </c>
      <c r="N458" s="5">
        <v>1</v>
      </c>
      <c r="P458" s="5" t="s">
        <v>138</v>
      </c>
    </row>
    <row r="459" spans="1:16" s="5" customFormat="1" x14ac:dyDescent="0.25">
      <c r="A459" s="6">
        <v>44916</v>
      </c>
      <c r="B459" s="5">
        <v>54</v>
      </c>
      <c r="C459" s="5">
        <v>27</v>
      </c>
      <c r="D459" s="5">
        <v>0.01</v>
      </c>
      <c r="E459" s="5">
        <v>7.0000000000000007E-2</v>
      </c>
      <c r="F459" s="5">
        <v>12.5</v>
      </c>
      <c r="G459" s="5">
        <v>0</v>
      </c>
      <c r="H459" s="5">
        <v>0</v>
      </c>
      <c r="I459" s="5">
        <v>1.1000000000000001</v>
      </c>
      <c r="J459" s="5">
        <v>1.4</v>
      </c>
      <c r="M459" s="5">
        <v>1</v>
      </c>
      <c r="N459" s="5">
        <v>1</v>
      </c>
      <c r="O459" s="5">
        <v>2</v>
      </c>
      <c r="P459" s="5" t="s">
        <v>129</v>
      </c>
    </row>
    <row r="460" spans="1:16" s="5" customFormat="1" x14ac:dyDescent="0.25">
      <c r="A460" s="6">
        <v>44916</v>
      </c>
      <c r="B460" s="5">
        <v>54</v>
      </c>
      <c r="C460" s="5">
        <v>28</v>
      </c>
      <c r="D460" s="5">
        <v>0.01</v>
      </c>
      <c r="E460" s="5">
        <v>7.0000000000000007E-2</v>
      </c>
      <c r="F460" s="5">
        <v>12.5</v>
      </c>
      <c r="G460" s="5">
        <v>0</v>
      </c>
      <c r="H460" s="5">
        <v>0</v>
      </c>
      <c r="I460" s="5">
        <v>1.1000000000000001</v>
      </c>
      <c r="J460" s="5">
        <v>1.4</v>
      </c>
      <c r="M460" s="5">
        <v>1</v>
      </c>
      <c r="N460" s="5">
        <v>1</v>
      </c>
      <c r="P460" s="5" t="s">
        <v>133</v>
      </c>
    </row>
    <row r="461" spans="1:16" s="5" customFormat="1" x14ac:dyDescent="0.25">
      <c r="A461" s="6">
        <v>44916</v>
      </c>
      <c r="B461" s="5">
        <v>54</v>
      </c>
      <c r="C461" s="5">
        <v>29</v>
      </c>
      <c r="D461" s="5">
        <v>0.01</v>
      </c>
      <c r="E461" s="5">
        <v>7.0000000000000007E-2</v>
      </c>
      <c r="F461" s="5">
        <v>12.5</v>
      </c>
      <c r="G461" s="5">
        <v>0</v>
      </c>
      <c r="H461" s="5">
        <v>0</v>
      </c>
      <c r="I461" s="5">
        <v>1.1000000000000001</v>
      </c>
      <c r="J461" s="5">
        <v>1.4</v>
      </c>
      <c r="M461" s="5">
        <v>1</v>
      </c>
      <c r="N461" s="5">
        <v>1</v>
      </c>
      <c r="O461" s="5">
        <v>1</v>
      </c>
      <c r="P461" s="5" t="s">
        <v>130</v>
      </c>
    </row>
    <row r="462" spans="1:16" x14ac:dyDescent="0.25">
      <c r="A462" s="6">
        <v>44916</v>
      </c>
      <c r="B462" s="5">
        <v>55</v>
      </c>
      <c r="C462" s="5">
        <v>34</v>
      </c>
      <c r="D462" s="5">
        <v>0.01</v>
      </c>
      <c r="E462" s="5">
        <v>7.0000000000000007E-2</v>
      </c>
      <c r="F462" s="5">
        <v>12.5</v>
      </c>
      <c r="G462" s="5">
        <v>0</v>
      </c>
      <c r="H462" s="5">
        <v>0</v>
      </c>
      <c r="I462" s="5">
        <v>1.1000000000000001</v>
      </c>
      <c r="J462" s="5">
        <v>1.4</v>
      </c>
      <c r="K462" s="5"/>
      <c r="L462" s="5"/>
      <c r="M462" s="5">
        <v>1</v>
      </c>
      <c r="N462" s="5">
        <v>1</v>
      </c>
      <c r="O462" s="5"/>
      <c r="P462" s="5" t="s">
        <v>137</v>
      </c>
    </row>
    <row r="463" spans="1:16" x14ac:dyDescent="0.25">
      <c r="A463" s="6">
        <v>44916</v>
      </c>
      <c r="B463" s="5">
        <v>55</v>
      </c>
      <c r="C463" s="5">
        <v>35</v>
      </c>
      <c r="D463" s="5">
        <v>0.01</v>
      </c>
      <c r="E463" s="5">
        <v>7.0000000000000007E-2</v>
      </c>
      <c r="F463" s="5">
        <v>12.5</v>
      </c>
      <c r="G463" s="5">
        <v>0</v>
      </c>
      <c r="H463" s="5">
        <v>0</v>
      </c>
      <c r="I463" s="5">
        <v>1.1000000000000001</v>
      </c>
      <c r="J463" s="5">
        <v>1.4</v>
      </c>
      <c r="K463" s="5"/>
      <c r="L463" s="5"/>
      <c r="M463" s="5">
        <v>1</v>
      </c>
      <c r="N463" s="5">
        <v>1</v>
      </c>
      <c r="O463" s="5"/>
      <c r="P463" s="5" t="s">
        <v>138</v>
      </c>
    </row>
    <row r="464" spans="1:16" x14ac:dyDescent="0.25">
      <c r="A464" s="6">
        <v>44916</v>
      </c>
      <c r="B464" s="5">
        <v>55</v>
      </c>
      <c r="C464" s="5">
        <v>36</v>
      </c>
      <c r="D464" s="5">
        <v>0.01</v>
      </c>
      <c r="E464" s="5">
        <v>7.0000000000000007E-2</v>
      </c>
      <c r="F464" s="5">
        <v>12.5</v>
      </c>
      <c r="G464" s="5">
        <v>0</v>
      </c>
      <c r="H464" s="5">
        <v>0</v>
      </c>
      <c r="I464" s="5">
        <v>1.1000000000000001</v>
      </c>
      <c r="J464" s="5">
        <v>1.4</v>
      </c>
      <c r="K464" s="5"/>
      <c r="L464" s="5"/>
      <c r="M464" s="5">
        <v>1</v>
      </c>
      <c r="N464" s="5">
        <v>1</v>
      </c>
      <c r="O464" s="5"/>
      <c r="P464" s="5" t="s">
        <v>129</v>
      </c>
    </row>
    <row r="465" spans="1:16" x14ac:dyDescent="0.25">
      <c r="A465" s="6">
        <v>44916</v>
      </c>
      <c r="B465" s="5">
        <v>55</v>
      </c>
      <c r="C465" s="5">
        <v>37</v>
      </c>
      <c r="D465" s="5">
        <v>0.01</v>
      </c>
      <c r="E465" s="5">
        <v>7.0000000000000007E-2</v>
      </c>
      <c r="F465" s="5">
        <v>12.5</v>
      </c>
      <c r="G465" s="5">
        <v>0</v>
      </c>
      <c r="H465" s="5">
        <v>0</v>
      </c>
      <c r="I465" s="5">
        <v>1.1000000000000001</v>
      </c>
      <c r="J465" s="5">
        <v>1.4</v>
      </c>
      <c r="K465" s="5"/>
      <c r="L465" s="5"/>
      <c r="M465" s="5">
        <v>1</v>
      </c>
      <c r="N465" s="5">
        <v>1</v>
      </c>
      <c r="O465" s="5"/>
      <c r="P465" s="5" t="s">
        <v>134</v>
      </c>
    </row>
    <row r="466" spans="1:16" x14ac:dyDescent="0.25">
      <c r="A466" s="6">
        <v>44916</v>
      </c>
      <c r="B466" s="5">
        <v>55</v>
      </c>
      <c r="C466" s="5">
        <v>38</v>
      </c>
      <c r="D466" s="5">
        <v>0.01</v>
      </c>
      <c r="E466" s="5">
        <v>7.0000000000000007E-2</v>
      </c>
      <c r="F466" s="5">
        <v>12.5</v>
      </c>
      <c r="G466" s="5">
        <v>0</v>
      </c>
      <c r="H466" s="5">
        <v>0</v>
      </c>
      <c r="I466" s="5">
        <v>1.1000000000000001</v>
      </c>
      <c r="J466" s="5">
        <v>1.4</v>
      </c>
      <c r="K466" s="5"/>
      <c r="L466" s="5"/>
      <c r="M466" s="5">
        <v>1</v>
      </c>
      <c r="N466" s="5">
        <v>1</v>
      </c>
      <c r="O466" s="5">
        <v>0.25</v>
      </c>
      <c r="P466" s="5" t="s">
        <v>130</v>
      </c>
    </row>
    <row r="467" spans="1:16" s="5" customFormat="1" x14ac:dyDescent="0.25">
      <c r="A467" s="6">
        <v>44916</v>
      </c>
      <c r="B467" s="5">
        <v>56</v>
      </c>
      <c r="C467" s="5">
        <v>43</v>
      </c>
      <c r="D467" s="5">
        <v>0.01</v>
      </c>
      <c r="E467" s="5">
        <v>7.0000000000000007E-2</v>
      </c>
      <c r="F467" s="5">
        <v>12.5</v>
      </c>
      <c r="G467" s="5">
        <v>0</v>
      </c>
      <c r="H467" s="5">
        <v>0</v>
      </c>
      <c r="I467" s="5">
        <v>1.1000000000000001</v>
      </c>
      <c r="J467" s="5">
        <v>1.4</v>
      </c>
      <c r="M467" s="5">
        <v>1</v>
      </c>
      <c r="N467" s="5">
        <v>1</v>
      </c>
      <c r="O467" s="5">
        <v>0.25</v>
      </c>
      <c r="P467" s="5" t="s">
        <v>137</v>
      </c>
    </row>
    <row r="468" spans="1:16" s="5" customFormat="1" x14ac:dyDescent="0.25">
      <c r="A468" s="6">
        <v>44916</v>
      </c>
      <c r="B468" s="5">
        <v>56</v>
      </c>
      <c r="C468" s="5">
        <v>44</v>
      </c>
      <c r="D468" s="5">
        <v>0.01</v>
      </c>
      <c r="E468" s="5">
        <v>7.0000000000000007E-2</v>
      </c>
      <c r="F468" s="5">
        <v>12.5</v>
      </c>
      <c r="G468" s="5">
        <v>0</v>
      </c>
      <c r="H468" s="5">
        <v>0</v>
      </c>
      <c r="I468" s="5">
        <v>1.1000000000000001</v>
      </c>
      <c r="J468" s="5">
        <v>1.4</v>
      </c>
      <c r="M468" s="5">
        <v>1</v>
      </c>
      <c r="N468" s="5">
        <v>1</v>
      </c>
      <c r="O468" s="5">
        <v>3</v>
      </c>
      <c r="P468" s="5" t="s">
        <v>138</v>
      </c>
    </row>
    <row r="469" spans="1:16" s="5" customFormat="1" x14ac:dyDescent="0.25">
      <c r="A469" s="6">
        <v>44916</v>
      </c>
      <c r="B469" s="5">
        <v>56</v>
      </c>
      <c r="C469" s="5">
        <v>45</v>
      </c>
      <c r="D469" s="5">
        <v>0.01</v>
      </c>
      <c r="E469" s="5">
        <v>7.0000000000000007E-2</v>
      </c>
      <c r="F469" s="5">
        <v>12.5</v>
      </c>
      <c r="G469" s="5">
        <v>0</v>
      </c>
      <c r="H469" s="5">
        <v>0</v>
      </c>
      <c r="I469" s="5">
        <v>1.1000000000000001</v>
      </c>
      <c r="J469" s="5">
        <v>1.4</v>
      </c>
      <c r="M469" s="5">
        <v>1</v>
      </c>
      <c r="N469" s="5">
        <v>1</v>
      </c>
      <c r="O469" s="5">
        <v>3</v>
      </c>
      <c r="P469" s="5" t="s">
        <v>129</v>
      </c>
    </row>
    <row r="470" spans="1:16" s="5" customFormat="1" x14ac:dyDescent="0.25">
      <c r="A470" s="6">
        <v>44916</v>
      </c>
      <c r="B470" s="5">
        <v>56</v>
      </c>
      <c r="C470" s="5">
        <v>46</v>
      </c>
      <c r="D470" s="5">
        <v>0.01</v>
      </c>
      <c r="E470" s="5">
        <v>7.0000000000000007E-2</v>
      </c>
      <c r="F470" s="5">
        <v>12.5</v>
      </c>
      <c r="G470" s="5">
        <v>0</v>
      </c>
      <c r="H470" s="5">
        <v>0</v>
      </c>
      <c r="I470" s="5">
        <v>1.1000000000000001</v>
      </c>
      <c r="J470" s="5">
        <v>1.4</v>
      </c>
      <c r="M470" s="5">
        <v>1</v>
      </c>
      <c r="N470" s="5">
        <v>1</v>
      </c>
      <c r="P470" s="5" t="s">
        <v>133</v>
      </c>
    </row>
    <row r="471" spans="1:16" s="5" customFormat="1" x14ac:dyDescent="0.25">
      <c r="A471" s="6">
        <v>44916</v>
      </c>
      <c r="B471" s="5">
        <v>56</v>
      </c>
      <c r="C471" s="5">
        <v>47</v>
      </c>
      <c r="D471" s="5">
        <v>0.01</v>
      </c>
      <c r="E471" s="5">
        <v>7.0000000000000007E-2</v>
      </c>
      <c r="F471" s="5">
        <v>12.5</v>
      </c>
      <c r="G471" s="5">
        <v>0</v>
      </c>
      <c r="H471" s="5">
        <v>0</v>
      </c>
      <c r="I471" s="5">
        <v>1.1000000000000001</v>
      </c>
      <c r="J471" s="5">
        <v>1.4</v>
      </c>
      <c r="M471" s="5">
        <v>1</v>
      </c>
      <c r="N471" s="5">
        <v>1</v>
      </c>
      <c r="P471" s="5" t="s">
        <v>130</v>
      </c>
    </row>
    <row r="472" spans="1:16" s="5" customFormat="1" x14ac:dyDescent="0.25">
      <c r="A472" s="6">
        <v>44916</v>
      </c>
      <c r="B472" s="5">
        <v>57</v>
      </c>
      <c r="C472" s="5">
        <v>52</v>
      </c>
      <c r="D472" s="5">
        <v>0.01</v>
      </c>
      <c r="E472" s="5">
        <v>7.0000000000000007E-2</v>
      </c>
      <c r="F472" s="5">
        <v>12.5</v>
      </c>
      <c r="G472" s="5">
        <v>0</v>
      </c>
      <c r="H472" s="5">
        <v>0</v>
      </c>
      <c r="I472" s="5">
        <v>1.1000000000000001</v>
      </c>
      <c r="J472" s="5">
        <v>1.4</v>
      </c>
      <c r="M472" s="5">
        <v>1</v>
      </c>
      <c r="N472" s="5">
        <v>1</v>
      </c>
      <c r="P472" s="5" t="s">
        <v>137</v>
      </c>
    </row>
    <row r="473" spans="1:16" s="5" customFormat="1" x14ac:dyDescent="0.25">
      <c r="A473" s="6">
        <v>44916</v>
      </c>
      <c r="B473" s="5">
        <v>57</v>
      </c>
      <c r="C473" s="5">
        <v>53</v>
      </c>
      <c r="D473" s="5">
        <v>0.01</v>
      </c>
      <c r="E473" s="5">
        <v>7.0000000000000007E-2</v>
      </c>
      <c r="F473" s="5">
        <v>12.5</v>
      </c>
      <c r="G473" s="5">
        <v>0</v>
      </c>
      <c r="H473" s="5">
        <v>0</v>
      </c>
      <c r="I473" s="5">
        <v>1.1000000000000001</v>
      </c>
      <c r="J473" s="5">
        <v>1.4</v>
      </c>
      <c r="M473" s="5">
        <v>1</v>
      </c>
      <c r="N473" s="5">
        <v>1</v>
      </c>
      <c r="P473" s="5" t="s">
        <v>138</v>
      </c>
    </row>
    <row r="474" spans="1:16" s="5" customFormat="1" x14ac:dyDescent="0.25">
      <c r="A474" s="6">
        <v>44916</v>
      </c>
      <c r="B474" s="5">
        <v>57</v>
      </c>
      <c r="C474" s="5">
        <v>54</v>
      </c>
      <c r="D474" s="5">
        <v>0.01</v>
      </c>
      <c r="E474" s="5">
        <v>7.0000000000000007E-2</v>
      </c>
      <c r="F474" s="5">
        <v>12.5</v>
      </c>
      <c r="G474" s="5">
        <v>0</v>
      </c>
      <c r="H474" s="5">
        <v>0</v>
      </c>
      <c r="I474" s="5">
        <v>1.1000000000000001</v>
      </c>
      <c r="J474" s="5">
        <v>1.4</v>
      </c>
      <c r="M474" s="5">
        <v>1</v>
      </c>
      <c r="N474" s="5">
        <v>1</v>
      </c>
      <c r="P474" s="5" t="s">
        <v>129</v>
      </c>
    </row>
    <row r="475" spans="1:16" s="5" customFormat="1" x14ac:dyDescent="0.25">
      <c r="A475" s="6">
        <v>44916</v>
      </c>
      <c r="B475" s="5">
        <v>57</v>
      </c>
      <c r="C475" s="5">
        <v>55</v>
      </c>
      <c r="D475" s="5">
        <v>0.01</v>
      </c>
      <c r="E475" s="5">
        <v>7.0000000000000007E-2</v>
      </c>
      <c r="F475" s="5">
        <v>12.5</v>
      </c>
      <c r="G475" s="5">
        <v>0</v>
      </c>
      <c r="H475" s="5">
        <v>0</v>
      </c>
      <c r="I475" s="5">
        <v>1.1000000000000001</v>
      </c>
      <c r="J475" s="5">
        <v>1.4</v>
      </c>
      <c r="M475" s="5">
        <v>1</v>
      </c>
      <c r="N475" s="5">
        <v>1</v>
      </c>
      <c r="P475" s="5" t="s">
        <v>133</v>
      </c>
    </row>
    <row r="476" spans="1:16" s="5" customFormat="1" x14ac:dyDescent="0.25">
      <c r="A476" s="6">
        <v>44916</v>
      </c>
      <c r="B476" s="5">
        <v>57</v>
      </c>
      <c r="C476" s="5">
        <v>56</v>
      </c>
      <c r="D476" s="5">
        <v>0.01</v>
      </c>
      <c r="E476" s="5">
        <v>7.0000000000000007E-2</v>
      </c>
      <c r="F476" s="5">
        <v>12.5</v>
      </c>
      <c r="G476" s="5">
        <v>0</v>
      </c>
      <c r="H476" s="5">
        <v>0</v>
      </c>
      <c r="I476" s="5">
        <v>1.1000000000000001</v>
      </c>
      <c r="J476" s="5">
        <v>1.4</v>
      </c>
      <c r="M476" s="5">
        <v>1</v>
      </c>
      <c r="N476" s="5">
        <v>1</v>
      </c>
      <c r="P476" s="5" t="s">
        <v>130</v>
      </c>
    </row>
    <row r="477" spans="1:16" x14ac:dyDescent="0.25">
      <c r="A477" s="1">
        <v>44936</v>
      </c>
      <c r="B477">
        <v>58</v>
      </c>
      <c r="C477">
        <v>3</v>
      </c>
      <c r="D477" s="5">
        <v>0.01</v>
      </c>
      <c r="E477" s="5">
        <v>7.0000000000000007E-2</v>
      </c>
      <c r="F477" s="5">
        <v>12.5</v>
      </c>
      <c r="G477" s="5">
        <v>0</v>
      </c>
      <c r="H477" s="5">
        <v>-0.5</v>
      </c>
      <c r="I477" s="5">
        <v>1.1000000000000001</v>
      </c>
      <c r="J477" s="5">
        <v>0.65</v>
      </c>
      <c r="K477" s="5"/>
      <c r="L477" s="5"/>
      <c r="M477" s="5">
        <v>1</v>
      </c>
      <c r="N477" s="5">
        <v>1</v>
      </c>
      <c r="O477" s="5"/>
      <c r="P477" s="5" t="s">
        <v>155</v>
      </c>
    </row>
    <row r="478" spans="1:16" s="5" customFormat="1" x14ac:dyDescent="0.25">
      <c r="A478" s="6">
        <v>44936</v>
      </c>
      <c r="B478" s="5">
        <v>58</v>
      </c>
      <c r="C478" s="5">
        <v>4</v>
      </c>
      <c r="D478" s="5">
        <v>0.01</v>
      </c>
      <c r="E478" s="5">
        <v>7.0000000000000007E-2</v>
      </c>
      <c r="F478" s="5">
        <v>12.5</v>
      </c>
      <c r="G478" s="5">
        <v>0</v>
      </c>
      <c r="H478" s="5">
        <v>-0.5</v>
      </c>
      <c r="I478" s="5">
        <v>1.1000000000000001</v>
      </c>
      <c r="J478" s="5">
        <v>0.4</v>
      </c>
      <c r="M478" s="5">
        <v>1</v>
      </c>
      <c r="N478" s="5">
        <v>1</v>
      </c>
      <c r="P478" s="5" t="s">
        <v>156</v>
      </c>
    </row>
    <row r="479" spans="1:16" s="5" customFormat="1" x14ac:dyDescent="0.25">
      <c r="A479" s="6">
        <v>44936</v>
      </c>
      <c r="B479" s="5">
        <v>58</v>
      </c>
      <c r="C479" s="5">
        <v>5</v>
      </c>
      <c r="D479" s="5">
        <v>0.02</v>
      </c>
      <c r="E479" s="5">
        <v>0.14000000000000001</v>
      </c>
      <c r="F479" s="5">
        <v>6.25</v>
      </c>
      <c r="G479" s="5">
        <v>0</v>
      </c>
      <c r="H479" s="5">
        <v>-0.5</v>
      </c>
      <c r="I479" s="5">
        <v>1.2</v>
      </c>
      <c r="J479" s="5">
        <v>0.65</v>
      </c>
      <c r="M479" s="5">
        <v>1</v>
      </c>
      <c r="N479" s="5">
        <v>1</v>
      </c>
      <c r="P479" s="5" t="s">
        <v>155</v>
      </c>
    </row>
    <row r="480" spans="1:16" s="5" customFormat="1" x14ac:dyDescent="0.25">
      <c r="A480" s="6">
        <v>44937</v>
      </c>
      <c r="B480" s="5">
        <v>59</v>
      </c>
      <c r="C480" s="5">
        <v>5</v>
      </c>
      <c r="D480" s="5">
        <v>0.01</v>
      </c>
      <c r="E480" s="5">
        <v>7.0000000000000007E-2</v>
      </c>
      <c r="F480" s="5">
        <v>12.5</v>
      </c>
      <c r="G480" s="5">
        <v>0</v>
      </c>
      <c r="H480" s="5">
        <v>-0.5</v>
      </c>
      <c r="I480" s="5">
        <v>1.1000000000000001</v>
      </c>
      <c r="J480" s="5">
        <v>1.2</v>
      </c>
      <c r="M480" s="5">
        <v>1</v>
      </c>
      <c r="N480" s="5">
        <v>1</v>
      </c>
      <c r="P480" s="5" t="s">
        <v>155</v>
      </c>
    </row>
    <row r="481" spans="1:16" s="5" customFormat="1" x14ac:dyDescent="0.25">
      <c r="A481" s="6">
        <v>44937</v>
      </c>
      <c r="B481" s="5">
        <v>59</v>
      </c>
      <c r="C481" s="5">
        <v>6</v>
      </c>
      <c r="D481" s="5">
        <v>0.02</v>
      </c>
      <c r="E481" s="5">
        <v>0.14000000000000001</v>
      </c>
      <c r="F481" s="5">
        <v>6.25</v>
      </c>
      <c r="G481" s="5">
        <v>0</v>
      </c>
      <c r="H481" s="5">
        <v>-0.5</v>
      </c>
      <c r="I481" s="5">
        <v>1.2</v>
      </c>
      <c r="J481" s="5">
        <v>1.35</v>
      </c>
      <c r="M481" s="5">
        <v>1</v>
      </c>
      <c r="N481" s="5">
        <v>1</v>
      </c>
      <c r="P481" s="5" t="s">
        <v>155</v>
      </c>
    </row>
    <row r="482" spans="1:16" s="5" customFormat="1" x14ac:dyDescent="0.25">
      <c r="A482" s="6">
        <v>44937</v>
      </c>
      <c r="B482" s="5">
        <v>59</v>
      </c>
      <c r="C482" s="5">
        <v>7</v>
      </c>
      <c r="D482" s="5">
        <v>0.01</v>
      </c>
      <c r="E482" s="5">
        <v>7.0000000000000007E-2</v>
      </c>
      <c r="F482" s="5">
        <v>12.5</v>
      </c>
      <c r="G482" s="5">
        <v>0</v>
      </c>
      <c r="H482" s="5">
        <v>-0.5</v>
      </c>
      <c r="I482" s="5">
        <v>1.1000000000000001</v>
      </c>
      <c r="J482" s="5">
        <v>0.85</v>
      </c>
      <c r="M482" s="5">
        <v>1</v>
      </c>
      <c r="N482" s="5">
        <v>1</v>
      </c>
      <c r="P482" s="5" t="s">
        <v>157</v>
      </c>
    </row>
    <row r="483" spans="1:16" s="5" customFormat="1" x14ac:dyDescent="0.25">
      <c r="A483" s="6">
        <v>44937</v>
      </c>
      <c r="B483" s="5">
        <v>59</v>
      </c>
      <c r="C483" s="5">
        <v>8</v>
      </c>
      <c r="D483" s="5">
        <v>0.01</v>
      </c>
      <c r="E483" s="5">
        <v>7.0000000000000007E-2</v>
      </c>
      <c r="F483" s="5">
        <v>12.5</v>
      </c>
      <c r="G483" s="5">
        <v>0</v>
      </c>
      <c r="H483" s="5">
        <v>-0.5</v>
      </c>
      <c r="I483" s="5">
        <v>1.1000000000000001</v>
      </c>
      <c r="J483" s="5">
        <v>0.85</v>
      </c>
      <c r="M483" s="5">
        <v>1</v>
      </c>
      <c r="N483" s="5">
        <v>1</v>
      </c>
      <c r="P483" s="5" t="s">
        <v>158</v>
      </c>
    </row>
    <row r="484" spans="1:16" s="5" customFormat="1" x14ac:dyDescent="0.25">
      <c r="A484" s="6">
        <v>44937</v>
      </c>
      <c r="B484" s="5">
        <v>59</v>
      </c>
      <c r="C484" s="5">
        <v>9</v>
      </c>
      <c r="D484" s="5">
        <v>0.01</v>
      </c>
      <c r="E484" s="5">
        <v>7.0000000000000007E-2</v>
      </c>
      <c r="F484" s="5">
        <v>12.5</v>
      </c>
      <c r="G484" s="5">
        <v>0</v>
      </c>
      <c r="H484" s="5">
        <v>-0.5</v>
      </c>
      <c r="I484" s="5">
        <v>1.1000000000000001</v>
      </c>
      <c r="J484" s="5">
        <v>0.9</v>
      </c>
      <c r="M484" s="5">
        <v>1</v>
      </c>
      <c r="N484" s="5">
        <v>1</v>
      </c>
      <c r="P484" s="5" t="s">
        <v>159</v>
      </c>
    </row>
    <row r="485" spans="1:16" s="5" customFormat="1" x14ac:dyDescent="0.25">
      <c r="A485" s="6">
        <v>44937</v>
      </c>
      <c r="B485" s="5">
        <v>59</v>
      </c>
      <c r="C485" s="5">
        <v>10</v>
      </c>
      <c r="D485" s="5">
        <v>0.01</v>
      </c>
      <c r="E485" s="5">
        <v>7.0000000000000007E-2</v>
      </c>
      <c r="F485" s="5">
        <v>12.5</v>
      </c>
      <c r="G485" s="5">
        <v>0</v>
      </c>
      <c r="H485" s="5">
        <v>-0.5</v>
      </c>
      <c r="I485" s="5">
        <v>1</v>
      </c>
      <c r="J485" s="5">
        <v>0.9</v>
      </c>
      <c r="M485" s="5">
        <v>1</v>
      </c>
      <c r="N485" s="5">
        <v>1</v>
      </c>
      <c r="P485" s="5" t="s">
        <v>160</v>
      </c>
    </row>
    <row r="486" spans="1:16" s="5" customFormat="1" x14ac:dyDescent="0.25">
      <c r="A486" s="6">
        <v>44937</v>
      </c>
      <c r="B486" s="5">
        <v>59</v>
      </c>
      <c r="C486" s="5">
        <v>11</v>
      </c>
      <c r="D486" s="5">
        <v>0.01</v>
      </c>
      <c r="E486" s="5">
        <v>7.0000000000000007E-2</v>
      </c>
      <c r="F486" s="5">
        <v>12.5</v>
      </c>
      <c r="G486" s="5">
        <v>0</v>
      </c>
      <c r="H486" s="5">
        <v>-0.5</v>
      </c>
      <c r="I486" s="5">
        <v>1.1000000000000001</v>
      </c>
      <c r="J486" s="5">
        <v>0.9</v>
      </c>
      <c r="M486" s="5">
        <v>1</v>
      </c>
      <c r="N486" s="5">
        <v>1</v>
      </c>
      <c r="P486" s="5" t="s">
        <v>161</v>
      </c>
    </row>
    <row r="487" spans="1:16" s="5" customFormat="1" x14ac:dyDescent="0.25">
      <c r="A487" s="6">
        <v>44938</v>
      </c>
      <c r="B487" s="5">
        <v>60</v>
      </c>
      <c r="C487" s="5">
        <v>3</v>
      </c>
      <c r="D487" s="5">
        <v>0.01</v>
      </c>
      <c r="E487" s="5">
        <v>7.0000000000000007E-2</v>
      </c>
      <c r="F487" s="5">
        <v>12.5</v>
      </c>
      <c r="G487" s="5">
        <v>0</v>
      </c>
      <c r="H487" s="5">
        <v>-0.5</v>
      </c>
      <c r="I487" s="5">
        <v>1.1000000000000001</v>
      </c>
      <c r="J487" s="5">
        <v>1.3</v>
      </c>
      <c r="M487" s="5">
        <v>1</v>
      </c>
      <c r="N487" s="5">
        <v>1</v>
      </c>
      <c r="P487" s="5" t="s">
        <v>155</v>
      </c>
    </row>
    <row r="488" spans="1:16" s="5" customFormat="1" x14ac:dyDescent="0.25">
      <c r="A488" s="6">
        <v>44938</v>
      </c>
      <c r="B488" s="5">
        <v>60</v>
      </c>
      <c r="C488" s="5">
        <v>4</v>
      </c>
      <c r="D488" s="5">
        <v>0.01</v>
      </c>
      <c r="E488" s="5">
        <v>7.0000000000000007E-2</v>
      </c>
      <c r="F488" s="5">
        <v>12.5</v>
      </c>
      <c r="G488" s="5">
        <v>0</v>
      </c>
      <c r="H488" s="5">
        <v>-0.5</v>
      </c>
      <c r="I488" s="5">
        <v>1.1000000000000001</v>
      </c>
      <c r="J488" s="5">
        <v>1.1000000000000001</v>
      </c>
      <c r="M488" s="5">
        <v>1</v>
      </c>
      <c r="N488" s="5">
        <v>1</v>
      </c>
      <c r="P488" s="5" t="s">
        <v>155</v>
      </c>
    </row>
    <row r="489" spans="1:16" s="5" customFormat="1" x14ac:dyDescent="0.25">
      <c r="A489" s="6">
        <v>44938</v>
      </c>
      <c r="B489" s="5">
        <v>60</v>
      </c>
      <c r="C489" s="5">
        <v>5</v>
      </c>
      <c r="D489" s="5">
        <v>0.01</v>
      </c>
      <c r="E489" s="5">
        <v>7.0000000000000007E-2</v>
      </c>
      <c r="F489" s="5">
        <v>12.5</v>
      </c>
      <c r="G489" s="5">
        <v>0</v>
      </c>
      <c r="H489" s="5">
        <v>-0.5</v>
      </c>
      <c r="I489" s="5">
        <v>1.1000000000000001</v>
      </c>
      <c r="J489" s="5">
        <v>1.25</v>
      </c>
      <c r="M489" s="5">
        <v>1</v>
      </c>
      <c r="N489" s="5">
        <v>1</v>
      </c>
      <c r="P489" s="5" t="s">
        <v>162</v>
      </c>
    </row>
    <row r="490" spans="1:16" s="5" customFormat="1" x14ac:dyDescent="0.25">
      <c r="A490" s="6">
        <v>44938</v>
      </c>
      <c r="B490" s="5">
        <v>60</v>
      </c>
      <c r="C490" s="5">
        <v>7</v>
      </c>
      <c r="D490" s="5">
        <v>0.01</v>
      </c>
      <c r="E490" s="5">
        <v>7.0000000000000007E-2</v>
      </c>
      <c r="F490" s="5">
        <v>12.5</v>
      </c>
      <c r="G490" s="5">
        <v>0</v>
      </c>
      <c r="H490" s="5">
        <v>-0.5</v>
      </c>
      <c r="I490" s="5">
        <v>1.1000000000000001</v>
      </c>
      <c r="J490" s="5">
        <v>1.25</v>
      </c>
      <c r="M490" s="5">
        <v>1</v>
      </c>
      <c r="N490" s="5">
        <v>1</v>
      </c>
      <c r="P490" s="5" t="s">
        <v>163</v>
      </c>
    </row>
    <row r="491" spans="1:16" s="5" customFormat="1" x14ac:dyDescent="0.25">
      <c r="A491" s="6">
        <v>44938</v>
      </c>
      <c r="B491" s="5">
        <v>60</v>
      </c>
      <c r="C491" s="5">
        <v>8</v>
      </c>
      <c r="D491" s="5">
        <v>0.01</v>
      </c>
      <c r="E491" s="5">
        <v>7.0000000000000007E-2</v>
      </c>
      <c r="F491" s="5">
        <v>12.5</v>
      </c>
      <c r="G491" s="5">
        <v>0</v>
      </c>
      <c r="H491" s="5">
        <v>-0.5</v>
      </c>
      <c r="I491" s="5">
        <v>1.1000000000000001</v>
      </c>
      <c r="J491" s="5">
        <v>1.25</v>
      </c>
      <c r="M491" s="5">
        <v>1</v>
      </c>
      <c r="N491" s="5">
        <v>1</v>
      </c>
      <c r="P491" s="5" t="s">
        <v>164</v>
      </c>
    </row>
    <row r="492" spans="1:16" s="5" customFormat="1" x14ac:dyDescent="0.25">
      <c r="A492" s="6">
        <v>44938</v>
      </c>
      <c r="B492" s="5">
        <v>60</v>
      </c>
      <c r="C492" s="5">
        <v>9</v>
      </c>
      <c r="D492" s="5">
        <v>0.01</v>
      </c>
      <c r="E492" s="5">
        <v>7.0000000000000007E-2</v>
      </c>
      <c r="F492" s="5">
        <v>12.5</v>
      </c>
      <c r="G492" s="5">
        <v>0</v>
      </c>
      <c r="H492" s="5">
        <v>-0.5</v>
      </c>
      <c r="I492" s="5">
        <v>1.1000000000000001</v>
      </c>
      <c r="J492" s="5">
        <v>1.25</v>
      </c>
      <c r="M492" s="5">
        <v>1</v>
      </c>
      <c r="N492" s="5">
        <v>1</v>
      </c>
      <c r="P492" s="5" t="s">
        <v>165</v>
      </c>
    </row>
    <row r="493" spans="1:16" s="5" customFormat="1" x14ac:dyDescent="0.25">
      <c r="A493" s="6">
        <v>44938</v>
      </c>
      <c r="B493" s="5">
        <v>60</v>
      </c>
      <c r="C493" s="5">
        <v>12</v>
      </c>
      <c r="D493" s="5">
        <v>0.01</v>
      </c>
      <c r="E493" s="5">
        <v>7.0000000000000007E-2</v>
      </c>
      <c r="F493" s="5">
        <v>12.5</v>
      </c>
      <c r="G493" s="5">
        <v>0</v>
      </c>
      <c r="H493" s="5">
        <v>-0.5</v>
      </c>
      <c r="I493" s="5">
        <v>1.1000000000000001</v>
      </c>
      <c r="J493" s="5">
        <v>0.45</v>
      </c>
      <c r="M493" s="5">
        <v>1</v>
      </c>
      <c r="N493" s="5">
        <v>1</v>
      </c>
      <c r="P493" s="5" t="s">
        <v>166</v>
      </c>
    </row>
    <row r="494" spans="1:16" s="5" customFormat="1" x14ac:dyDescent="0.25">
      <c r="A494" s="6">
        <v>44938</v>
      </c>
      <c r="B494" s="5">
        <v>60</v>
      </c>
      <c r="C494" s="5">
        <v>13</v>
      </c>
      <c r="D494" s="5">
        <v>0.01</v>
      </c>
      <c r="E494" s="5">
        <v>7.0000000000000007E-2</v>
      </c>
      <c r="F494" s="5">
        <v>12.5</v>
      </c>
      <c r="G494" s="5">
        <v>0</v>
      </c>
      <c r="H494" s="5">
        <v>-0.5</v>
      </c>
      <c r="I494" s="5">
        <v>1.1000000000000001</v>
      </c>
      <c r="J494" s="5">
        <v>1.1000000000000001</v>
      </c>
      <c r="M494" s="5">
        <v>1</v>
      </c>
      <c r="N494" s="5">
        <v>1</v>
      </c>
      <c r="P494" s="5" t="s">
        <v>167</v>
      </c>
    </row>
    <row r="495" spans="1:16" s="5" customFormat="1" x14ac:dyDescent="0.25">
      <c r="A495" s="6">
        <v>44938</v>
      </c>
      <c r="B495" s="5">
        <v>60</v>
      </c>
      <c r="C495" s="5">
        <v>14</v>
      </c>
      <c r="D495" s="5">
        <v>0.02</v>
      </c>
      <c r="E495" s="5">
        <v>0.14000000000000001</v>
      </c>
      <c r="F495" s="5">
        <v>6.25</v>
      </c>
      <c r="G495" s="5">
        <v>0</v>
      </c>
      <c r="H495" s="5">
        <v>-0.5</v>
      </c>
      <c r="I495" s="5">
        <v>1.2</v>
      </c>
      <c r="J495" s="5">
        <v>1.2</v>
      </c>
      <c r="M495" s="5">
        <v>1</v>
      </c>
      <c r="N495" s="5">
        <v>1</v>
      </c>
      <c r="P495" s="5" t="s">
        <v>155</v>
      </c>
    </row>
    <row r="496" spans="1:16" s="5" customFormat="1" x14ac:dyDescent="0.25">
      <c r="A496" s="6">
        <v>44938</v>
      </c>
      <c r="B496" s="5">
        <v>60</v>
      </c>
      <c r="C496" s="5">
        <v>15</v>
      </c>
      <c r="D496" s="5">
        <v>0.01</v>
      </c>
      <c r="E496" s="5">
        <v>7.0000000000000007E-2</v>
      </c>
      <c r="F496" s="5">
        <v>12.5</v>
      </c>
      <c r="G496" s="5">
        <v>0</v>
      </c>
      <c r="H496" s="5">
        <v>-0.5</v>
      </c>
      <c r="I496" s="5">
        <v>1.1000000000000001</v>
      </c>
      <c r="J496" s="5">
        <v>1.1000000000000001</v>
      </c>
      <c r="M496" s="5">
        <v>1</v>
      </c>
      <c r="N496" s="5">
        <v>1</v>
      </c>
      <c r="P496" s="5" t="s">
        <v>168</v>
      </c>
    </row>
    <row r="497" spans="1:16" s="5" customFormat="1" x14ac:dyDescent="0.25">
      <c r="A497" s="6">
        <v>44938</v>
      </c>
      <c r="B497" s="5">
        <v>60</v>
      </c>
      <c r="C497" s="5">
        <v>16</v>
      </c>
      <c r="D497" s="5">
        <v>0.01</v>
      </c>
      <c r="E497" s="5">
        <v>7.0000000000000007E-2</v>
      </c>
      <c r="F497" s="5">
        <v>12.5</v>
      </c>
      <c r="G497" s="5">
        <v>0</v>
      </c>
      <c r="H497" s="5">
        <v>-0.5</v>
      </c>
      <c r="I497" s="5">
        <v>1.1000000000000001</v>
      </c>
      <c r="J497" s="5">
        <v>1.1000000000000001</v>
      </c>
      <c r="M497" s="5">
        <v>1</v>
      </c>
      <c r="N497" s="5">
        <v>1</v>
      </c>
      <c r="P497" s="5" t="s">
        <v>169</v>
      </c>
    </row>
    <row r="498" spans="1:16" s="5" customFormat="1" x14ac:dyDescent="0.25">
      <c r="A498" s="6">
        <v>44938</v>
      </c>
      <c r="B498" s="5">
        <v>61</v>
      </c>
      <c r="C498" s="5">
        <v>19</v>
      </c>
      <c r="D498" s="5">
        <v>0.01</v>
      </c>
      <c r="E498" s="5">
        <v>7.0000000000000007E-2</v>
      </c>
      <c r="F498" s="5">
        <v>12.5</v>
      </c>
      <c r="G498" s="5">
        <v>0</v>
      </c>
      <c r="H498" s="5">
        <v>-0.5</v>
      </c>
      <c r="I498" s="5">
        <v>1.1000000000000001</v>
      </c>
      <c r="J498" s="5">
        <v>1.1000000000000001</v>
      </c>
      <c r="M498" s="5">
        <v>1</v>
      </c>
      <c r="N498" s="5">
        <v>1</v>
      </c>
      <c r="P498" s="5" t="s">
        <v>167</v>
      </c>
    </row>
    <row r="499" spans="1:16" s="5" customFormat="1" x14ac:dyDescent="0.25">
      <c r="A499" s="6">
        <v>44938</v>
      </c>
      <c r="B499" s="5">
        <v>61</v>
      </c>
      <c r="C499" s="5">
        <v>20</v>
      </c>
      <c r="D499" s="5">
        <v>0.01</v>
      </c>
      <c r="E499" s="5">
        <v>7.0000000000000007E-2</v>
      </c>
      <c r="F499" s="5">
        <v>12.5</v>
      </c>
      <c r="G499" s="5">
        <v>0</v>
      </c>
      <c r="H499" s="5">
        <v>-0.5</v>
      </c>
      <c r="I499" s="5">
        <v>1.1000000000000001</v>
      </c>
      <c r="J499" s="5">
        <v>1.2</v>
      </c>
      <c r="M499" s="5">
        <v>1</v>
      </c>
      <c r="N499" s="5">
        <v>1</v>
      </c>
      <c r="P499" s="5" t="s">
        <v>170</v>
      </c>
    </row>
    <row r="500" spans="1:16" s="5" customFormat="1" x14ac:dyDescent="0.25">
      <c r="A500" s="6">
        <v>44938</v>
      </c>
      <c r="B500" s="5">
        <v>61</v>
      </c>
      <c r="C500" s="5">
        <v>21</v>
      </c>
      <c r="D500" s="5">
        <v>0.02</v>
      </c>
      <c r="E500" s="5">
        <v>0.14000000000000001</v>
      </c>
      <c r="F500" s="5">
        <v>6.25</v>
      </c>
      <c r="G500" s="5">
        <v>0</v>
      </c>
      <c r="H500" s="5">
        <v>-0.5</v>
      </c>
      <c r="I500" s="5">
        <v>1.2</v>
      </c>
      <c r="J500" s="5">
        <v>1.2</v>
      </c>
      <c r="M500" s="5">
        <v>1</v>
      </c>
      <c r="N500" s="5">
        <v>1</v>
      </c>
      <c r="P500" s="5" t="s">
        <v>155</v>
      </c>
    </row>
    <row r="501" spans="1:16" s="5" customFormat="1" x14ac:dyDescent="0.25">
      <c r="A501" s="6">
        <v>44938</v>
      </c>
      <c r="B501" s="5">
        <v>61</v>
      </c>
      <c r="C501" s="5">
        <v>22</v>
      </c>
      <c r="D501" s="5">
        <v>0.01</v>
      </c>
      <c r="E501" s="5">
        <v>7.0000000000000007E-2</v>
      </c>
      <c r="F501" s="5">
        <v>12.5</v>
      </c>
      <c r="G501" s="5">
        <v>0</v>
      </c>
      <c r="H501" s="5">
        <v>-0.5</v>
      </c>
      <c r="I501" s="5">
        <v>1.1000000000000001</v>
      </c>
      <c r="J501" s="5">
        <v>0.6</v>
      </c>
      <c r="M501" s="5">
        <v>1</v>
      </c>
      <c r="N501" s="5">
        <v>1</v>
      </c>
      <c r="P501" s="5" t="s">
        <v>167</v>
      </c>
    </row>
    <row r="502" spans="1:16" s="5" customFormat="1" x14ac:dyDescent="0.25">
      <c r="A502" s="6">
        <v>44950</v>
      </c>
      <c r="B502" s="5">
        <v>62</v>
      </c>
      <c r="C502" s="5">
        <v>4</v>
      </c>
      <c r="D502" s="5">
        <f t="shared" ref="D502:D731" si="24">1/120</f>
        <v>8.3333333333333332E-3</v>
      </c>
      <c r="E502" s="5">
        <f t="shared" ref="E502:E731" si="25">8/120</f>
        <v>6.6666666666666666E-2</v>
      </c>
      <c r="F502" s="5">
        <v>12.5</v>
      </c>
      <c r="G502" s="5">
        <v>0</v>
      </c>
      <c r="H502" s="5">
        <v>-2</v>
      </c>
      <c r="I502" s="5">
        <v>1.2</v>
      </c>
      <c r="J502" s="5">
        <v>0.28000000000000003</v>
      </c>
      <c r="M502" s="5">
        <v>1</v>
      </c>
      <c r="N502" s="5">
        <v>1</v>
      </c>
      <c r="P502" s="5" t="s">
        <v>167</v>
      </c>
    </row>
    <row r="503" spans="1:16" s="5" customFormat="1" x14ac:dyDescent="0.25">
      <c r="A503" s="6">
        <v>44950</v>
      </c>
      <c r="B503" s="5">
        <v>62</v>
      </c>
      <c r="C503" s="5">
        <v>5</v>
      </c>
      <c r="D503" s="5">
        <f t="shared" si="24"/>
        <v>8.3333333333333332E-3</v>
      </c>
      <c r="E503" s="5">
        <f t="shared" si="25"/>
        <v>6.6666666666666666E-2</v>
      </c>
      <c r="F503" s="5">
        <v>12.5</v>
      </c>
      <c r="G503" s="5">
        <v>0</v>
      </c>
      <c r="H503" s="5">
        <v>-2</v>
      </c>
      <c r="I503" s="5">
        <v>1.2</v>
      </c>
      <c r="J503" s="5">
        <v>0.35</v>
      </c>
      <c r="M503" s="5">
        <v>1</v>
      </c>
      <c r="N503" s="5">
        <v>1</v>
      </c>
      <c r="P503" s="5" t="s">
        <v>170</v>
      </c>
    </row>
    <row r="504" spans="1:16" s="5" customFormat="1" x14ac:dyDescent="0.25">
      <c r="A504" s="6">
        <v>44950</v>
      </c>
      <c r="B504" s="5">
        <v>62</v>
      </c>
      <c r="C504" s="5">
        <v>6</v>
      </c>
      <c r="D504" s="5">
        <f t="shared" si="24"/>
        <v>8.3333333333333332E-3</v>
      </c>
      <c r="E504" s="5">
        <f t="shared" si="25"/>
        <v>6.6666666666666666E-2</v>
      </c>
      <c r="F504" s="5">
        <v>12.5</v>
      </c>
      <c r="G504" s="5">
        <v>0</v>
      </c>
      <c r="H504" s="5">
        <v>-2</v>
      </c>
      <c r="I504" s="5">
        <v>1.2</v>
      </c>
      <c r="J504" s="5">
        <v>0.3</v>
      </c>
      <c r="M504" s="5">
        <v>1</v>
      </c>
      <c r="N504" s="5">
        <v>1</v>
      </c>
      <c r="P504" s="5" t="s">
        <v>167</v>
      </c>
    </row>
    <row r="505" spans="1:16" s="5" customFormat="1" x14ac:dyDescent="0.25">
      <c r="A505" s="6">
        <v>44950</v>
      </c>
      <c r="B505" s="5">
        <v>62</v>
      </c>
      <c r="C505" s="5">
        <v>7</v>
      </c>
      <c r="D505" s="5">
        <f t="shared" si="24"/>
        <v>8.3333333333333332E-3</v>
      </c>
      <c r="E505" s="5">
        <f t="shared" si="25"/>
        <v>6.6666666666666666E-2</v>
      </c>
      <c r="F505" s="5">
        <v>12.5</v>
      </c>
      <c r="G505" s="5">
        <v>0</v>
      </c>
      <c r="H505" s="5">
        <v>-2</v>
      </c>
      <c r="I505" s="5">
        <v>1.2</v>
      </c>
      <c r="J505" s="5">
        <v>0.3</v>
      </c>
      <c r="M505" s="5">
        <v>1</v>
      </c>
      <c r="N505" s="5">
        <v>1</v>
      </c>
      <c r="P505" s="5" t="s">
        <v>302</v>
      </c>
    </row>
    <row r="506" spans="1:16" s="5" customFormat="1" x14ac:dyDescent="0.25">
      <c r="A506" s="6">
        <v>44950</v>
      </c>
      <c r="B506" s="5">
        <v>62</v>
      </c>
      <c r="C506" s="5">
        <v>8</v>
      </c>
      <c r="D506" s="5">
        <f t="shared" si="24"/>
        <v>8.3333333333333332E-3</v>
      </c>
      <c r="E506" s="5">
        <f t="shared" si="25"/>
        <v>6.6666666666666666E-2</v>
      </c>
      <c r="F506" s="5">
        <v>12.5</v>
      </c>
      <c r="G506" s="5">
        <v>0</v>
      </c>
      <c r="H506" s="5">
        <v>-2</v>
      </c>
      <c r="I506" s="5">
        <v>1.2</v>
      </c>
      <c r="J506" s="5">
        <v>1.2</v>
      </c>
      <c r="M506" s="5">
        <v>1</v>
      </c>
      <c r="N506" s="5">
        <v>1</v>
      </c>
      <c r="P506" s="5" t="s">
        <v>167</v>
      </c>
    </row>
    <row r="507" spans="1:16" s="5" customFormat="1" x14ac:dyDescent="0.25">
      <c r="A507" s="6">
        <v>44950</v>
      </c>
      <c r="B507" s="5">
        <v>62</v>
      </c>
      <c r="C507" s="5">
        <v>9</v>
      </c>
      <c r="D507" s="5">
        <f t="shared" si="24"/>
        <v>8.3333333333333332E-3</v>
      </c>
      <c r="E507" s="5">
        <f t="shared" si="25"/>
        <v>6.6666666666666666E-2</v>
      </c>
      <c r="F507" s="5">
        <v>12.5</v>
      </c>
      <c r="G507" s="5">
        <v>0</v>
      </c>
      <c r="H507" s="5">
        <v>-2</v>
      </c>
      <c r="I507" s="5">
        <v>1.2</v>
      </c>
      <c r="J507" s="5">
        <v>0.3</v>
      </c>
      <c r="M507" s="5">
        <v>1</v>
      </c>
      <c r="N507" s="5">
        <v>1</v>
      </c>
      <c r="P507" s="5" t="s">
        <v>170</v>
      </c>
    </row>
    <row r="508" spans="1:16" s="5" customFormat="1" x14ac:dyDescent="0.25">
      <c r="A508" s="6">
        <v>44950</v>
      </c>
      <c r="B508" s="5">
        <v>62</v>
      </c>
      <c r="C508" s="5">
        <v>10</v>
      </c>
      <c r="D508" s="5">
        <f t="shared" si="24"/>
        <v>8.3333333333333332E-3</v>
      </c>
      <c r="E508" s="5">
        <f t="shared" si="25"/>
        <v>6.6666666666666666E-2</v>
      </c>
      <c r="F508" s="5">
        <v>12.5</v>
      </c>
      <c r="G508" s="5">
        <v>0</v>
      </c>
      <c r="H508" s="5">
        <v>-2</v>
      </c>
      <c r="I508" s="5">
        <v>1.2</v>
      </c>
      <c r="J508" s="5">
        <v>1.1000000000000001</v>
      </c>
      <c r="M508" s="5">
        <v>1</v>
      </c>
      <c r="N508" s="5">
        <v>1</v>
      </c>
      <c r="P508" s="5" t="s">
        <v>170</v>
      </c>
    </row>
    <row r="509" spans="1:16" s="5" customFormat="1" x14ac:dyDescent="0.25">
      <c r="A509" s="6">
        <v>44950</v>
      </c>
      <c r="B509" s="5">
        <v>62</v>
      </c>
      <c r="C509" s="5">
        <v>11</v>
      </c>
      <c r="D509" s="5">
        <f t="shared" si="24"/>
        <v>8.3333333333333332E-3</v>
      </c>
      <c r="E509" s="5">
        <f t="shared" si="25"/>
        <v>6.6666666666666666E-2</v>
      </c>
      <c r="F509" s="5">
        <v>12.5</v>
      </c>
      <c r="G509" s="5">
        <v>0</v>
      </c>
      <c r="H509" s="5">
        <v>-2</v>
      </c>
      <c r="I509" s="5">
        <v>1.2</v>
      </c>
      <c r="J509" s="5">
        <v>1.1000000000000001</v>
      </c>
      <c r="M509" s="5">
        <v>1</v>
      </c>
      <c r="N509" s="5">
        <v>1</v>
      </c>
      <c r="P509" s="5" t="s">
        <v>167</v>
      </c>
    </row>
    <row r="510" spans="1:16" s="5" customFormat="1" x14ac:dyDescent="0.25">
      <c r="A510" s="6">
        <v>44950</v>
      </c>
      <c r="B510" s="5">
        <v>62</v>
      </c>
      <c r="C510" s="5">
        <v>12</v>
      </c>
      <c r="D510" s="5">
        <f t="shared" si="24"/>
        <v>8.3333333333333332E-3</v>
      </c>
      <c r="E510" s="5">
        <f t="shared" si="25"/>
        <v>6.6666666666666666E-2</v>
      </c>
      <c r="F510" s="5">
        <v>12.5</v>
      </c>
      <c r="G510" s="5">
        <v>0</v>
      </c>
      <c r="H510" s="5">
        <v>-2</v>
      </c>
      <c r="I510" s="5">
        <v>1.2</v>
      </c>
      <c r="J510" s="5">
        <v>1.1000000000000001</v>
      </c>
      <c r="M510" s="5">
        <v>1</v>
      </c>
      <c r="N510" s="5">
        <v>1</v>
      </c>
      <c r="P510" s="5" t="s">
        <v>170</v>
      </c>
    </row>
    <row r="511" spans="1:16" s="5" customFormat="1" x14ac:dyDescent="0.25">
      <c r="A511" s="6">
        <v>44950</v>
      </c>
      <c r="B511" s="5">
        <v>62</v>
      </c>
      <c r="C511" s="5">
        <v>13</v>
      </c>
      <c r="D511" s="5">
        <f t="shared" si="24"/>
        <v>8.3333333333333332E-3</v>
      </c>
      <c r="E511" s="5">
        <f t="shared" si="25"/>
        <v>6.6666666666666666E-2</v>
      </c>
      <c r="F511" s="5">
        <v>12.5</v>
      </c>
      <c r="G511" s="5">
        <v>0</v>
      </c>
      <c r="H511" s="5">
        <v>-2</v>
      </c>
      <c r="I511" s="5">
        <v>1.2</v>
      </c>
      <c r="J511" s="5">
        <v>1.1000000000000001</v>
      </c>
      <c r="M511" s="5">
        <v>1</v>
      </c>
      <c r="N511" s="5">
        <v>1</v>
      </c>
      <c r="P511" s="5" t="s">
        <v>167</v>
      </c>
    </row>
    <row r="512" spans="1:16" s="5" customFormat="1" x14ac:dyDescent="0.25">
      <c r="A512" s="6">
        <v>44951</v>
      </c>
      <c r="B512" s="5">
        <v>63</v>
      </c>
      <c r="C512" s="5">
        <v>4</v>
      </c>
      <c r="D512" s="5">
        <f t="shared" si="24"/>
        <v>8.3333333333333332E-3</v>
      </c>
      <c r="E512" s="5">
        <f t="shared" si="25"/>
        <v>6.6666666666666666E-2</v>
      </c>
      <c r="F512" s="5">
        <v>12.5</v>
      </c>
      <c r="G512" s="5">
        <v>0</v>
      </c>
      <c r="H512" s="5">
        <v>-0.5</v>
      </c>
      <c r="I512" s="5">
        <v>1</v>
      </c>
      <c r="J512" s="5">
        <v>0.3</v>
      </c>
      <c r="M512" s="5">
        <v>1</v>
      </c>
      <c r="N512" s="5">
        <v>1</v>
      </c>
      <c r="P512" s="5" t="s">
        <v>167</v>
      </c>
    </row>
    <row r="513" spans="1:16" s="5" customFormat="1" x14ac:dyDescent="0.25">
      <c r="A513" s="6">
        <v>44951</v>
      </c>
      <c r="B513" s="5">
        <v>63</v>
      </c>
      <c r="C513" s="5">
        <v>5</v>
      </c>
      <c r="D513" s="5">
        <f t="shared" si="24"/>
        <v>8.3333333333333332E-3</v>
      </c>
      <c r="E513" s="5">
        <f t="shared" si="25"/>
        <v>6.6666666666666666E-2</v>
      </c>
      <c r="F513" s="5">
        <v>12.5</v>
      </c>
      <c r="G513" s="5">
        <v>0</v>
      </c>
      <c r="H513" s="5">
        <v>-0.5</v>
      </c>
      <c r="I513" s="5">
        <v>1</v>
      </c>
      <c r="J513" s="5">
        <v>0.3</v>
      </c>
      <c r="M513" s="5">
        <v>1</v>
      </c>
      <c r="N513" s="5">
        <v>1</v>
      </c>
      <c r="P513" s="5" t="s">
        <v>302</v>
      </c>
    </row>
    <row r="514" spans="1:16" s="5" customFormat="1" x14ac:dyDescent="0.25">
      <c r="A514" s="6">
        <v>44951</v>
      </c>
      <c r="B514" s="5">
        <v>63</v>
      </c>
      <c r="C514" s="5">
        <v>6</v>
      </c>
      <c r="D514" s="5">
        <f t="shared" si="24"/>
        <v>8.3333333333333332E-3</v>
      </c>
      <c r="E514" s="5">
        <f t="shared" si="25"/>
        <v>6.6666666666666666E-2</v>
      </c>
      <c r="F514" s="5">
        <v>12.5</v>
      </c>
      <c r="G514" s="5">
        <v>0</v>
      </c>
      <c r="H514" s="5">
        <v>-2</v>
      </c>
      <c r="I514" s="5">
        <v>1.2</v>
      </c>
      <c r="J514" s="5">
        <v>0.5</v>
      </c>
      <c r="M514" s="5">
        <v>1</v>
      </c>
      <c r="N514" s="5">
        <v>1</v>
      </c>
      <c r="P514" s="5" t="s">
        <v>167</v>
      </c>
    </row>
    <row r="515" spans="1:16" s="5" customFormat="1" x14ac:dyDescent="0.25">
      <c r="A515" s="6">
        <v>44951</v>
      </c>
      <c r="B515" s="5">
        <v>63</v>
      </c>
      <c r="C515" s="5">
        <v>7</v>
      </c>
      <c r="D515" s="5">
        <f t="shared" si="24"/>
        <v>8.3333333333333332E-3</v>
      </c>
      <c r="E515" s="5">
        <f t="shared" si="25"/>
        <v>6.6666666666666666E-2</v>
      </c>
      <c r="F515" s="5">
        <v>12.5</v>
      </c>
      <c r="G515" s="5">
        <v>0</v>
      </c>
      <c r="H515" s="5">
        <v>-2</v>
      </c>
      <c r="I515" s="5">
        <v>1.2</v>
      </c>
      <c r="J515" s="5">
        <v>0.45</v>
      </c>
      <c r="M515" s="5">
        <v>1</v>
      </c>
      <c r="N515" s="5">
        <v>1</v>
      </c>
      <c r="P515" s="5" t="s">
        <v>170</v>
      </c>
    </row>
    <row r="516" spans="1:16" s="5" customFormat="1" x14ac:dyDescent="0.25">
      <c r="A516" s="6">
        <v>44951</v>
      </c>
      <c r="B516" s="5">
        <v>63</v>
      </c>
      <c r="C516" s="5">
        <v>8</v>
      </c>
      <c r="D516" s="5">
        <f t="shared" si="24"/>
        <v>8.3333333333333332E-3</v>
      </c>
      <c r="E516" s="5">
        <f t="shared" si="25"/>
        <v>6.6666666666666666E-2</v>
      </c>
      <c r="F516" s="5">
        <v>12.5</v>
      </c>
      <c r="G516" s="5">
        <v>0</v>
      </c>
      <c r="H516" s="5">
        <v>-2</v>
      </c>
      <c r="I516" s="5">
        <v>1.2</v>
      </c>
      <c r="J516" s="5">
        <v>0.5</v>
      </c>
      <c r="M516" s="5">
        <v>1</v>
      </c>
      <c r="N516" s="5">
        <v>1</v>
      </c>
      <c r="P516" s="5" t="s">
        <v>167</v>
      </c>
    </row>
    <row r="517" spans="1:16" s="5" customFormat="1" x14ac:dyDescent="0.25">
      <c r="A517" s="6">
        <v>44951</v>
      </c>
      <c r="B517" s="5">
        <v>63</v>
      </c>
      <c r="C517" s="5">
        <v>9</v>
      </c>
      <c r="D517" s="5">
        <f t="shared" si="24"/>
        <v>8.3333333333333332E-3</v>
      </c>
      <c r="E517" s="5">
        <f t="shared" si="25"/>
        <v>6.6666666666666666E-2</v>
      </c>
      <c r="F517" s="5">
        <v>12.5</v>
      </c>
      <c r="G517" s="5">
        <v>0</v>
      </c>
      <c r="H517" s="5">
        <v>-2</v>
      </c>
      <c r="I517" s="5">
        <v>1.2</v>
      </c>
      <c r="J517" s="5">
        <v>0.5</v>
      </c>
      <c r="M517" s="5">
        <v>1</v>
      </c>
      <c r="N517" s="5">
        <v>1</v>
      </c>
      <c r="P517" s="5" t="s">
        <v>170</v>
      </c>
    </row>
    <row r="518" spans="1:16" s="5" customFormat="1" x14ac:dyDescent="0.25">
      <c r="A518" s="6">
        <v>44951</v>
      </c>
      <c r="B518" s="5">
        <v>63</v>
      </c>
      <c r="C518" s="5">
        <v>10</v>
      </c>
      <c r="D518" s="5">
        <f t="shared" si="24"/>
        <v>8.3333333333333332E-3</v>
      </c>
      <c r="E518" s="5">
        <f t="shared" si="25"/>
        <v>6.6666666666666666E-2</v>
      </c>
      <c r="F518" s="5">
        <v>12.5</v>
      </c>
      <c r="G518" s="5">
        <v>0</v>
      </c>
      <c r="H518" s="5">
        <v>-2</v>
      </c>
      <c r="I518" s="5">
        <v>1.2</v>
      </c>
      <c r="J518" s="5">
        <v>0.5</v>
      </c>
      <c r="M518" s="5">
        <v>1</v>
      </c>
      <c r="N518" s="5">
        <v>1</v>
      </c>
      <c r="P518" s="5" t="s">
        <v>170</v>
      </c>
    </row>
    <row r="519" spans="1:16" s="5" customFormat="1" x14ac:dyDescent="0.25">
      <c r="A519" s="6">
        <v>44951</v>
      </c>
      <c r="B519" s="5">
        <v>63</v>
      </c>
      <c r="C519" s="5">
        <v>11</v>
      </c>
      <c r="D519" s="5">
        <f t="shared" si="24"/>
        <v>8.3333333333333332E-3</v>
      </c>
      <c r="E519" s="5">
        <f t="shared" si="25"/>
        <v>6.6666666666666666E-2</v>
      </c>
      <c r="F519" s="5">
        <v>12.5</v>
      </c>
      <c r="G519" s="5">
        <v>0</v>
      </c>
      <c r="H519" s="5">
        <v>-2</v>
      </c>
      <c r="I519" s="5">
        <v>1.2</v>
      </c>
      <c r="J519" s="5">
        <v>0.45</v>
      </c>
      <c r="M519" s="5">
        <v>1</v>
      </c>
      <c r="N519" s="5">
        <v>1</v>
      </c>
      <c r="P519" s="5" t="s">
        <v>170</v>
      </c>
    </row>
    <row r="520" spans="1:16" s="5" customFormat="1" x14ac:dyDescent="0.25">
      <c r="A520" s="6">
        <v>44951</v>
      </c>
      <c r="B520" s="5">
        <v>63</v>
      </c>
      <c r="C520" s="5">
        <v>12</v>
      </c>
      <c r="D520" s="5">
        <f t="shared" si="24"/>
        <v>8.3333333333333332E-3</v>
      </c>
      <c r="E520" s="5">
        <f t="shared" si="25"/>
        <v>6.6666666666666666E-2</v>
      </c>
      <c r="F520" s="5">
        <v>12.5</v>
      </c>
      <c r="G520" s="5">
        <v>0</v>
      </c>
      <c r="H520" s="5">
        <v>-2</v>
      </c>
      <c r="I520" s="5">
        <v>1.2</v>
      </c>
      <c r="J520" s="5">
        <v>0.27</v>
      </c>
      <c r="M520" s="5">
        <v>1</v>
      </c>
      <c r="N520" s="5">
        <v>1</v>
      </c>
      <c r="P520" s="5" t="s">
        <v>170</v>
      </c>
    </row>
    <row r="521" spans="1:16" s="5" customFormat="1" x14ac:dyDescent="0.25">
      <c r="A521" s="6">
        <v>44951</v>
      </c>
      <c r="B521" s="5">
        <v>63</v>
      </c>
      <c r="C521" s="5">
        <v>13</v>
      </c>
      <c r="D521" s="5">
        <f t="shared" si="24"/>
        <v>8.3333333333333332E-3</v>
      </c>
      <c r="E521" s="5">
        <f t="shared" si="25"/>
        <v>6.6666666666666666E-2</v>
      </c>
      <c r="F521" s="5">
        <v>12.5</v>
      </c>
      <c r="G521" s="5">
        <v>0</v>
      </c>
      <c r="H521" s="5">
        <v>-2</v>
      </c>
      <c r="I521" s="5">
        <v>1.2</v>
      </c>
      <c r="J521" s="5">
        <v>0.5</v>
      </c>
      <c r="M521" s="5">
        <v>1</v>
      </c>
      <c r="N521" s="5">
        <v>1</v>
      </c>
      <c r="P521" s="5" t="s">
        <v>170</v>
      </c>
    </row>
    <row r="522" spans="1:16" s="5" customFormat="1" x14ac:dyDescent="0.25">
      <c r="A522" s="6">
        <v>44956</v>
      </c>
      <c r="B522" s="5">
        <v>64</v>
      </c>
      <c r="C522" s="5">
        <v>4</v>
      </c>
      <c r="D522" s="5">
        <f t="shared" si="24"/>
        <v>8.3333333333333332E-3</v>
      </c>
      <c r="E522" s="5">
        <f t="shared" si="25"/>
        <v>6.6666666666666666E-2</v>
      </c>
      <c r="F522" s="5">
        <v>12.5</v>
      </c>
      <c r="G522" s="5">
        <v>0</v>
      </c>
      <c r="H522" s="5">
        <v>-2</v>
      </c>
      <c r="I522" s="5">
        <v>1.2</v>
      </c>
      <c r="J522" s="5">
        <v>0.5</v>
      </c>
      <c r="M522" s="5">
        <v>2</v>
      </c>
      <c r="N522" s="5">
        <v>1</v>
      </c>
      <c r="P522" s="5" t="s">
        <v>171</v>
      </c>
    </row>
    <row r="523" spans="1:16" s="5" customFormat="1" x14ac:dyDescent="0.25">
      <c r="A523" s="6">
        <v>44956</v>
      </c>
      <c r="B523" s="5">
        <v>64</v>
      </c>
      <c r="C523" s="5">
        <v>5</v>
      </c>
      <c r="D523" s="5">
        <f t="shared" si="24"/>
        <v>8.3333333333333332E-3</v>
      </c>
      <c r="E523" s="5">
        <f t="shared" si="25"/>
        <v>6.6666666666666666E-2</v>
      </c>
      <c r="F523" s="5">
        <v>12.5</v>
      </c>
      <c r="G523" s="5">
        <v>0</v>
      </c>
      <c r="H523" s="5">
        <v>-2</v>
      </c>
      <c r="I523" s="5">
        <v>1.2</v>
      </c>
      <c r="J523" s="5">
        <v>0.5</v>
      </c>
      <c r="M523" s="5">
        <v>2</v>
      </c>
      <c r="N523" s="5">
        <v>1</v>
      </c>
      <c r="P523" s="5" t="s">
        <v>172</v>
      </c>
    </row>
    <row r="524" spans="1:16" s="5" customFormat="1" x14ac:dyDescent="0.25">
      <c r="A524" s="6">
        <v>44956</v>
      </c>
      <c r="B524" s="5">
        <v>64</v>
      </c>
      <c r="C524" s="5">
        <v>6</v>
      </c>
      <c r="D524" s="5">
        <f t="shared" si="24"/>
        <v>8.3333333333333332E-3</v>
      </c>
      <c r="E524" s="5">
        <f t="shared" si="25"/>
        <v>6.6666666666666666E-2</v>
      </c>
      <c r="F524" s="5">
        <v>12.5</v>
      </c>
      <c r="G524" s="5">
        <v>0</v>
      </c>
      <c r="H524" s="5">
        <v>-2</v>
      </c>
      <c r="I524" s="5">
        <v>1.2</v>
      </c>
      <c r="J524" s="5">
        <v>0.5</v>
      </c>
      <c r="M524" s="5">
        <v>2</v>
      </c>
      <c r="N524" s="5">
        <v>1</v>
      </c>
      <c r="P524" s="5" t="s">
        <v>302</v>
      </c>
    </row>
    <row r="525" spans="1:16" s="5" customFormat="1" x14ac:dyDescent="0.25">
      <c r="A525" s="6">
        <v>44956</v>
      </c>
      <c r="B525" s="5">
        <v>64</v>
      </c>
      <c r="C525" s="5">
        <v>9</v>
      </c>
      <c r="D525" s="5">
        <f t="shared" si="24"/>
        <v>8.3333333333333332E-3</v>
      </c>
      <c r="E525" s="5">
        <f t="shared" si="25"/>
        <v>6.6666666666666666E-2</v>
      </c>
      <c r="F525" s="5">
        <v>12.5</v>
      </c>
      <c r="G525" s="5">
        <v>0</v>
      </c>
      <c r="H525" s="5">
        <v>-2</v>
      </c>
      <c r="I525" s="5">
        <v>1.2</v>
      </c>
      <c r="J525" s="5">
        <v>0.5</v>
      </c>
      <c r="M525" s="5">
        <v>2</v>
      </c>
      <c r="N525" s="5">
        <v>1</v>
      </c>
      <c r="P525" s="5" t="s">
        <v>170</v>
      </c>
    </row>
    <row r="526" spans="1:16" s="5" customFormat="1" x14ac:dyDescent="0.25">
      <c r="A526" s="6">
        <v>44956</v>
      </c>
      <c r="B526" s="5">
        <v>64</v>
      </c>
      <c r="C526" s="5">
        <v>12</v>
      </c>
      <c r="D526" s="5">
        <f t="shared" si="24"/>
        <v>8.3333333333333332E-3</v>
      </c>
      <c r="E526" s="5">
        <f t="shared" si="25"/>
        <v>6.6666666666666666E-2</v>
      </c>
      <c r="F526" s="5">
        <v>12.5</v>
      </c>
      <c r="G526" s="5">
        <v>0</v>
      </c>
      <c r="H526" s="5">
        <v>-2</v>
      </c>
      <c r="I526" s="5">
        <v>1.2</v>
      </c>
      <c r="J526" s="5">
        <v>0.5</v>
      </c>
      <c r="M526" s="5">
        <v>2</v>
      </c>
      <c r="N526" s="5">
        <v>1</v>
      </c>
      <c r="P526" s="5" t="s">
        <v>170</v>
      </c>
    </row>
    <row r="527" spans="1:16" s="5" customFormat="1" x14ac:dyDescent="0.25">
      <c r="A527" s="6">
        <v>44956</v>
      </c>
      <c r="B527" s="5">
        <v>64</v>
      </c>
      <c r="C527" s="5">
        <v>16</v>
      </c>
      <c r="D527" s="5">
        <f t="shared" si="24"/>
        <v>8.3333333333333332E-3</v>
      </c>
      <c r="E527" s="5">
        <f t="shared" si="25"/>
        <v>6.6666666666666666E-2</v>
      </c>
      <c r="F527" s="5">
        <v>12.5</v>
      </c>
      <c r="G527" s="5">
        <v>0</v>
      </c>
      <c r="H527" s="5">
        <v>-2</v>
      </c>
      <c r="I527" s="5">
        <v>1.2</v>
      </c>
      <c r="J527" s="5">
        <v>0.5</v>
      </c>
      <c r="M527" s="5">
        <v>2</v>
      </c>
      <c r="N527" s="5">
        <v>1</v>
      </c>
      <c r="P527" s="5" t="s">
        <v>170</v>
      </c>
    </row>
    <row r="528" spans="1:16" s="5" customFormat="1" x14ac:dyDescent="0.25">
      <c r="A528" s="6">
        <v>44956</v>
      </c>
      <c r="B528" s="5">
        <v>64</v>
      </c>
      <c r="C528" s="5">
        <v>19</v>
      </c>
      <c r="D528" s="5">
        <f t="shared" si="24"/>
        <v>8.3333333333333332E-3</v>
      </c>
      <c r="E528" s="5">
        <f t="shared" si="25"/>
        <v>6.6666666666666666E-2</v>
      </c>
      <c r="F528" s="5">
        <v>12.5</v>
      </c>
      <c r="G528" s="5">
        <v>0</v>
      </c>
      <c r="H528" s="5">
        <v>-2</v>
      </c>
      <c r="I528" s="5">
        <v>1.2</v>
      </c>
      <c r="J528" s="5">
        <v>0.5</v>
      </c>
      <c r="M528" s="5">
        <v>2</v>
      </c>
      <c r="N528" s="5">
        <v>1</v>
      </c>
      <c r="P528" s="5" t="s">
        <v>170</v>
      </c>
    </row>
    <row r="529" spans="1:16" s="5" customFormat="1" x14ac:dyDescent="0.25">
      <c r="A529" s="6">
        <v>44956</v>
      </c>
      <c r="B529" s="5">
        <v>64</v>
      </c>
      <c r="C529" s="5">
        <v>22</v>
      </c>
      <c r="D529" s="5">
        <f t="shared" si="24"/>
        <v>8.3333333333333332E-3</v>
      </c>
      <c r="E529" s="5">
        <f t="shared" si="25"/>
        <v>6.6666666666666666E-2</v>
      </c>
      <c r="F529" s="5">
        <v>12.5</v>
      </c>
      <c r="G529" s="5">
        <v>0</v>
      </c>
      <c r="H529" s="5">
        <v>-2</v>
      </c>
      <c r="I529" s="5">
        <v>1.2</v>
      </c>
      <c r="J529" s="5">
        <v>0.5</v>
      </c>
      <c r="M529" s="5">
        <v>2</v>
      </c>
      <c r="N529" s="5">
        <v>1</v>
      </c>
      <c r="P529" s="5" t="s">
        <v>170</v>
      </c>
    </row>
    <row r="530" spans="1:16" s="5" customFormat="1" x14ac:dyDescent="0.25">
      <c r="A530" s="6">
        <v>44959</v>
      </c>
      <c r="B530" s="5">
        <v>65</v>
      </c>
      <c r="C530" s="5">
        <v>3</v>
      </c>
      <c r="D530" s="5">
        <f t="shared" si="24"/>
        <v>8.3333333333333332E-3</v>
      </c>
      <c r="E530" s="5">
        <f t="shared" si="25"/>
        <v>6.6666666666666666E-2</v>
      </c>
      <c r="F530" s="5">
        <v>12.5</v>
      </c>
      <c r="G530" s="5">
        <v>0</v>
      </c>
      <c r="H530" s="5">
        <v>-2</v>
      </c>
      <c r="I530" s="5">
        <v>1.2</v>
      </c>
      <c r="J530" s="5">
        <v>0.5</v>
      </c>
      <c r="M530" s="5">
        <v>2</v>
      </c>
      <c r="N530" s="5">
        <v>1</v>
      </c>
      <c r="P530" s="5" t="s">
        <v>170</v>
      </c>
    </row>
    <row r="531" spans="1:16" s="5" customFormat="1" x14ac:dyDescent="0.25">
      <c r="A531" s="6">
        <v>44959</v>
      </c>
      <c r="B531" s="5">
        <v>65</v>
      </c>
      <c r="C531" s="5">
        <v>6</v>
      </c>
      <c r="D531" s="5">
        <f t="shared" si="24"/>
        <v>8.3333333333333332E-3</v>
      </c>
      <c r="E531" s="5">
        <f t="shared" si="25"/>
        <v>6.6666666666666666E-2</v>
      </c>
      <c r="F531" s="5">
        <v>12.5</v>
      </c>
      <c r="G531" s="5">
        <v>0</v>
      </c>
      <c r="H531" s="5">
        <v>-2</v>
      </c>
      <c r="I531" s="5">
        <v>1.2</v>
      </c>
      <c r="J531" s="5">
        <v>0.5</v>
      </c>
      <c r="M531" s="5">
        <v>2</v>
      </c>
      <c r="N531" s="5">
        <v>1</v>
      </c>
      <c r="P531" s="5" t="s">
        <v>302</v>
      </c>
    </row>
    <row r="532" spans="1:16" s="5" customFormat="1" x14ac:dyDescent="0.25">
      <c r="A532" s="6">
        <v>44959</v>
      </c>
      <c r="B532" s="5">
        <v>65</v>
      </c>
      <c r="C532" s="5">
        <v>11</v>
      </c>
      <c r="D532" s="5">
        <f t="shared" si="24"/>
        <v>8.3333333333333332E-3</v>
      </c>
      <c r="E532" s="5">
        <f t="shared" si="25"/>
        <v>6.6666666666666666E-2</v>
      </c>
      <c r="F532" s="5">
        <v>12.5</v>
      </c>
      <c r="G532" s="5">
        <v>0</v>
      </c>
      <c r="H532" s="5">
        <v>-2</v>
      </c>
      <c r="I532" s="5">
        <v>1.2</v>
      </c>
      <c r="J532" s="5">
        <v>0.5</v>
      </c>
      <c r="M532" s="5">
        <v>2</v>
      </c>
      <c r="N532" s="5">
        <v>1</v>
      </c>
      <c r="P532" s="5" t="s">
        <v>170</v>
      </c>
    </row>
    <row r="533" spans="1:16" s="5" customFormat="1" x14ac:dyDescent="0.25">
      <c r="A533" s="6">
        <v>44959</v>
      </c>
      <c r="B533" s="5">
        <v>65</v>
      </c>
      <c r="C533" s="5">
        <v>14</v>
      </c>
      <c r="D533" s="5">
        <f t="shared" si="24"/>
        <v>8.3333333333333332E-3</v>
      </c>
      <c r="E533" s="5">
        <f t="shared" si="25"/>
        <v>6.6666666666666666E-2</v>
      </c>
      <c r="F533" s="5">
        <v>12.5</v>
      </c>
      <c r="G533" s="5">
        <v>0</v>
      </c>
      <c r="H533" s="5">
        <v>-2</v>
      </c>
      <c r="I533" s="5">
        <v>1.2</v>
      </c>
      <c r="J533" s="5">
        <v>0.5</v>
      </c>
      <c r="M533" s="5">
        <v>2</v>
      </c>
      <c r="N533" s="5">
        <v>1</v>
      </c>
      <c r="P533" s="5" t="s">
        <v>170</v>
      </c>
    </row>
    <row r="534" spans="1:16" s="5" customFormat="1" x14ac:dyDescent="0.25">
      <c r="A534" s="6">
        <v>44959</v>
      </c>
      <c r="B534" s="5">
        <v>65</v>
      </c>
      <c r="C534" s="5">
        <v>17</v>
      </c>
      <c r="D534" s="5">
        <f t="shared" si="24"/>
        <v>8.3333333333333332E-3</v>
      </c>
      <c r="E534" s="5">
        <f t="shared" si="25"/>
        <v>6.6666666666666666E-2</v>
      </c>
      <c r="F534" s="5">
        <v>12.5</v>
      </c>
      <c r="G534" s="5">
        <v>0</v>
      </c>
      <c r="H534" s="5">
        <v>-2</v>
      </c>
      <c r="I534" s="5">
        <v>1.2</v>
      </c>
      <c r="J534" s="5">
        <v>0.5</v>
      </c>
      <c r="M534" s="5">
        <v>2</v>
      </c>
      <c r="N534" s="5">
        <v>1</v>
      </c>
      <c r="P534" s="5" t="s">
        <v>334</v>
      </c>
    </row>
    <row r="535" spans="1:16" s="5" customFormat="1" x14ac:dyDescent="0.25">
      <c r="A535" s="6">
        <v>44959</v>
      </c>
      <c r="B535" s="5">
        <v>65</v>
      </c>
      <c r="C535" s="5">
        <v>20</v>
      </c>
      <c r="D535" s="5">
        <f t="shared" si="24"/>
        <v>8.3333333333333332E-3</v>
      </c>
      <c r="E535" s="5">
        <f t="shared" si="25"/>
        <v>6.6666666666666666E-2</v>
      </c>
      <c r="F535" s="5">
        <v>12.5</v>
      </c>
      <c r="G535" s="5">
        <v>0</v>
      </c>
      <c r="H535" s="5">
        <v>-2</v>
      </c>
      <c r="I535" s="5">
        <v>1.2</v>
      </c>
      <c r="J535" s="5">
        <v>0.5</v>
      </c>
      <c r="M535" s="5">
        <v>2</v>
      </c>
      <c r="N535" s="5">
        <v>1</v>
      </c>
      <c r="P535" s="5" t="s">
        <v>170</v>
      </c>
    </row>
    <row r="536" spans="1:16" s="5" customFormat="1" x14ac:dyDescent="0.25">
      <c r="A536" s="6">
        <v>44959</v>
      </c>
      <c r="B536" s="5">
        <v>66</v>
      </c>
      <c r="C536" s="5">
        <v>23</v>
      </c>
      <c r="D536" s="5">
        <f t="shared" si="24"/>
        <v>8.3333333333333332E-3</v>
      </c>
      <c r="E536" s="5">
        <f t="shared" si="25"/>
        <v>6.6666666666666666E-2</v>
      </c>
      <c r="F536" s="5">
        <v>12.5</v>
      </c>
      <c r="G536" s="5">
        <v>0</v>
      </c>
      <c r="H536" s="5">
        <v>-2</v>
      </c>
      <c r="I536" s="5">
        <v>1.2</v>
      </c>
      <c r="J536" s="5">
        <v>0.5</v>
      </c>
      <c r="M536" s="5">
        <v>2</v>
      </c>
      <c r="N536" s="5">
        <v>1</v>
      </c>
      <c r="P536" s="5" t="s">
        <v>170</v>
      </c>
    </row>
    <row r="537" spans="1:16" s="5" customFormat="1" x14ac:dyDescent="0.25">
      <c r="A537" s="6">
        <v>44980</v>
      </c>
      <c r="B537" s="5">
        <v>67</v>
      </c>
      <c r="C537" s="5">
        <v>5</v>
      </c>
      <c r="D537" s="5">
        <f t="shared" si="24"/>
        <v>8.3333333333333332E-3</v>
      </c>
      <c r="E537" s="5">
        <f t="shared" si="25"/>
        <v>6.6666666666666666E-2</v>
      </c>
      <c r="F537" s="5">
        <v>12.5</v>
      </c>
      <c r="G537" s="5">
        <v>0</v>
      </c>
      <c r="H537" s="5">
        <v>-2</v>
      </c>
      <c r="I537" s="5">
        <v>1.2</v>
      </c>
      <c r="J537" s="5">
        <v>0.5</v>
      </c>
      <c r="M537" s="5">
        <v>2</v>
      </c>
      <c r="N537" s="5">
        <v>1</v>
      </c>
      <c r="P537" s="5" t="s">
        <v>173</v>
      </c>
    </row>
    <row r="538" spans="1:16" s="5" customFormat="1" x14ac:dyDescent="0.25">
      <c r="A538" s="6">
        <v>44980</v>
      </c>
      <c r="B538" s="5">
        <v>67</v>
      </c>
      <c r="C538" s="5">
        <v>6</v>
      </c>
      <c r="D538" s="5">
        <v>0.02</v>
      </c>
      <c r="E538" s="5">
        <v>0.14000000000000001</v>
      </c>
      <c r="F538" s="5">
        <v>6.25</v>
      </c>
      <c r="G538" s="5">
        <v>0</v>
      </c>
      <c r="H538" s="5">
        <v>-0.5</v>
      </c>
      <c r="I538" s="5">
        <v>1.2</v>
      </c>
      <c r="J538" s="5">
        <v>0.5</v>
      </c>
      <c r="M538" s="5">
        <v>2</v>
      </c>
      <c r="N538" s="5">
        <v>1</v>
      </c>
      <c r="P538" s="5" t="s">
        <v>174</v>
      </c>
    </row>
    <row r="539" spans="1:16" s="5" customFormat="1" x14ac:dyDescent="0.25">
      <c r="A539" s="6">
        <v>44980</v>
      </c>
      <c r="B539" s="5">
        <v>67</v>
      </c>
      <c r="C539" s="5">
        <v>7</v>
      </c>
      <c r="D539" s="5">
        <f t="shared" si="24"/>
        <v>8.3333333333333332E-3</v>
      </c>
      <c r="E539" s="5">
        <f t="shared" si="25"/>
        <v>6.6666666666666666E-2</v>
      </c>
      <c r="F539" s="5">
        <v>12.5</v>
      </c>
      <c r="G539" s="5">
        <v>0</v>
      </c>
      <c r="H539" s="5">
        <v>-2</v>
      </c>
      <c r="I539" s="5">
        <v>1.2</v>
      </c>
      <c r="J539" s="5">
        <v>0.5</v>
      </c>
      <c r="M539" s="5">
        <v>2</v>
      </c>
      <c r="N539" s="5">
        <v>1</v>
      </c>
      <c r="P539" s="5" t="s">
        <v>170</v>
      </c>
    </row>
    <row r="540" spans="1:16" s="5" customFormat="1" x14ac:dyDescent="0.25">
      <c r="A540" s="6">
        <v>44980</v>
      </c>
      <c r="B540" s="5">
        <v>67</v>
      </c>
      <c r="C540" s="5">
        <v>8</v>
      </c>
      <c r="D540" s="5">
        <f t="shared" si="24"/>
        <v>8.3333333333333332E-3</v>
      </c>
      <c r="E540" s="5">
        <f t="shared" si="25"/>
        <v>6.6666666666666666E-2</v>
      </c>
      <c r="F540" s="5">
        <v>12.5</v>
      </c>
      <c r="G540" s="5">
        <v>0</v>
      </c>
      <c r="H540" s="5">
        <v>-2</v>
      </c>
      <c r="I540" s="5">
        <v>1.2</v>
      </c>
      <c r="J540" s="5">
        <v>0.5</v>
      </c>
      <c r="M540" s="5">
        <v>2</v>
      </c>
      <c r="N540" s="5">
        <v>1</v>
      </c>
      <c r="P540" s="5" t="s">
        <v>167</v>
      </c>
    </row>
    <row r="541" spans="1:16" s="5" customFormat="1" x14ac:dyDescent="0.25">
      <c r="A541" s="6">
        <v>44980</v>
      </c>
      <c r="B541" s="5">
        <v>67</v>
      </c>
      <c r="C541" s="5">
        <v>9</v>
      </c>
      <c r="D541" s="5">
        <f t="shared" si="24"/>
        <v>8.3333333333333332E-3</v>
      </c>
      <c r="E541" s="5">
        <f t="shared" si="25"/>
        <v>6.6666666666666666E-2</v>
      </c>
      <c r="F541" s="5">
        <v>12.5</v>
      </c>
      <c r="G541" s="5">
        <v>0</v>
      </c>
      <c r="H541" s="5">
        <v>-2</v>
      </c>
      <c r="I541" s="5">
        <v>1.2</v>
      </c>
      <c r="J541" s="5">
        <v>0.5</v>
      </c>
      <c r="M541" s="5">
        <v>2</v>
      </c>
      <c r="N541" s="5">
        <v>1</v>
      </c>
      <c r="P541" s="5" t="s">
        <v>163</v>
      </c>
    </row>
    <row r="542" spans="1:16" s="5" customFormat="1" x14ac:dyDescent="0.25">
      <c r="A542" s="6">
        <v>44980</v>
      </c>
      <c r="B542" s="5">
        <v>67</v>
      </c>
      <c r="C542" s="5">
        <v>13</v>
      </c>
      <c r="D542" s="5">
        <f t="shared" si="24"/>
        <v>8.3333333333333332E-3</v>
      </c>
      <c r="E542" s="5">
        <f t="shared" si="25"/>
        <v>6.6666666666666666E-2</v>
      </c>
      <c r="F542" s="5">
        <v>12.5</v>
      </c>
      <c r="G542" s="5">
        <v>0</v>
      </c>
      <c r="H542" s="5">
        <v>-2</v>
      </c>
      <c r="I542" s="5">
        <v>1.2</v>
      </c>
      <c r="J542" s="5">
        <v>0.5</v>
      </c>
      <c r="M542" s="5">
        <v>2</v>
      </c>
      <c r="N542" s="5">
        <v>1</v>
      </c>
      <c r="P542" s="5" t="s">
        <v>173</v>
      </c>
    </row>
    <row r="543" spans="1:16" s="5" customFormat="1" x14ac:dyDescent="0.25">
      <c r="A543" s="6">
        <v>44980</v>
      </c>
      <c r="B543" s="5">
        <v>67</v>
      </c>
      <c r="C543" s="5">
        <v>14</v>
      </c>
      <c r="D543" s="5">
        <f t="shared" si="24"/>
        <v>8.3333333333333332E-3</v>
      </c>
      <c r="E543" s="5">
        <f t="shared" si="25"/>
        <v>6.6666666666666666E-2</v>
      </c>
      <c r="F543" s="5">
        <v>12.5</v>
      </c>
      <c r="G543" s="5">
        <v>0</v>
      </c>
      <c r="H543" s="5">
        <v>-2</v>
      </c>
      <c r="I543" s="5">
        <v>1.2</v>
      </c>
      <c r="J543" s="5">
        <v>0.5</v>
      </c>
      <c r="M543" s="5">
        <v>2</v>
      </c>
      <c r="N543" s="5">
        <v>1</v>
      </c>
      <c r="P543" s="5" t="s">
        <v>167</v>
      </c>
    </row>
    <row r="544" spans="1:16" s="5" customFormat="1" x14ac:dyDescent="0.25">
      <c r="A544" s="6">
        <v>44980</v>
      </c>
      <c r="B544" s="5">
        <v>67</v>
      </c>
      <c r="C544" s="5">
        <v>15</v>
      </c>
      <c r="D544" s="5">
        <f t="shared" si="24"/>
        <v>8.3333333333333332E-3</v>
      </c>
      <c r="E544" s="5">
        <f t="shared" si="25"/>
        <v>6.6666666666666666E-2</v>
      </c>
      <c r="F544" s="5">
        <v>12.5</v>
      </c>
      <c r="G544" s="5">
        <v>0</v>
      </c>
      <c r="H544" s="5">
        <v>-2</v>
      </c>
      <c r="I544" s="5">
        <v>1.2</v>
      </c>
      <c r="J544" s="5">
        <v>0.5</v>
      </c>
      <c r="M544" s="5">
        <v>2</v>
      </c>
      <c r="N544" s="5">
        <v>1</v>
      </c>
      <c r="P544" s="5" t="s">
        <v>170</v>
      </c>
    </row>
    <row r="545" spans="1:16" s="5" customFormat="1" x14ac:dyDescent="0.25">
      <c r="A545" s="6">
        <v>44980</v>
      </c>
      <c r="B545" s="5">
        <v>67</v>
      </c>
      <c r="C545" s="5">
        <v>16</v>
      </c>
      <c r="D545" s="5">
        <f t="shared" si="24"/>
        <v>8.3333333333333332E-3</v>
      </c>
      <c r="E545" s="5">
        <f t="shared" si="25"/>
        <v>6.6666666666666666E-2</v>
      </c>
      <c r="F545" s="5">
        <v>12.5</v>
      </c>
      <c r="G545" s="5">
        <v>0</v>
      </c>
      <c r="H545" s="5">
        <v>-2</v>
      </c>
      <c r="I545" s="5">
        <v>1.2</v>
      </c>
      <c r="J545" s="5">
        <v>0.5</v>
      </c>
      <c r="M545" s="5">
        <v>2</v>
      </c>
      <c r="N545" s="5">
        <v>1</v>
      </c>
      <c r="P545" s="5" t="s">
        <v>163</v>
      </c>
    </row>
    <row r="546" spans="1:16" s="5" customFormat="1" x14ac:dyDescent="0.25">
      <c r="A546" s="6">
        <v>44980</v>
      </c>
      <c r="B546" s="5">
        <v>67</v>
      </c>
      <c r="C546" s="5">
        <v>17</v>
      </c>
      <c r="D546" s="5">
        <v>0.02</v>
      </c>
      <c r="E546" s="5">
        <v>0.14000000000000001</v>
      </c>
      <c r="F546" s="5">
        <v>6.25</v>
      </c>
      <c r="G546" s="5">
        <v>0</v>
      </c>
      <c r="H546" s="5">
        <v>-0.5</v>
      </c>
      <c r="I546" s="5">
        <v>1.2</v>
      </c>
      <c r="J546" s="5">
        <v>0.5</v>
      </c>
      <c r="M546" s="5">
        <v>2</v>
      </c>
      <c r="N546" s="5">
        <v>1</v>
      </c>
      <c r="P546" s="5" t="s">
        <v>162</v>
      </c>
    </row>
    <row r="547" spans="1:16" s="5" customFormat="1" x14ac:dyDescent="0.25">
      <c r="A547" s="6">
        <v>44980</v>
      </c>
      <c r="B547" s="5">
        <v>67</v>
      </c>
      <c r="C547" s="5">
        <v>21</v>
      </c>
      <c r="D547" s="5">
        <f t="shared" si="24"/>
        <v>8.3333333333333332E-3</v>
      </c>
      <c r="E547" s="5">
        <f t="shared" si="25"/>
        <v>6.6666666666666666E-2</v>
      </c>
      <c r="F547" s="5">
        <v>12.5</v>
      </c>
      <c r="G547" s="5">
        <v>0</v>
      </c>
      <c r="H547" s="5">
        <v>-2</v>
      </c>
      <c r="I547" s="5">
        <v>1.2</v>
      </c>
      <c r="J547" s="5">
        <v>0.5</v>
      </c>
      <c r="M547" s="5">
        <v>2</v>
      </c>
      <c r="N547" s="5">
        <v>1</v>
      </c>
      <c r="P547" s="5" t="s">
        <v>173</v>
      </c>
    </row>
    <row r="548" spans="1:16" s="5" customFormat="1" x14ac:dyDescent="0.25">
      <c r="A548" s="6">
        <v>44980</v>
      </c>
      <c r="B548" s="5">
        <v>67</v>
      </c>
      <c r="C548" s="5">
        <v>22</v>
      </c>
      <c r="D548" s="5">
        <f t="shared" si="24"/>
        <v>8.3333333333333332E-3</v>
      </c>
      <c r="E548" s="5">
        <f t="shared" si="25"/>
        <v>6.6666666666666666E-2</v>
      </c>
      <c r="F548" s="5">
        <v>12.5</v>
      </c>
      <c r="G548" s="5">
        <v>0</v>
      </c>
      <c r="H548" s="5">
        <v>-2</v>
      </c>
      <c r="I548" s="5">
        <v>1.2</v>
      </c>
      <c r="J548" s="5">
        <v>0.5</v>
      </c>
      <c r="M548" s="5">
        <v>2</v>
      </c>
      <c r="N548" s="5">
        <v>1</v>
      </c>
      <c r="P548" s="5" t="s">
        <v>170</v>
      </c>
    </row>
    <row r="549" spans="1:16" s="5" customFormat="1" x14ac:dyDescent="0.25">
      <c r="A549" s="6">
        <v>44980</v>
      </c>
      <c r="B549" s="5">
        <v>68</v>
      </c>
      <c r="C549" s="5">
        <v>25</v>
      </c>
      <c r="D549" s="5">
        <f t="shared" si="24"/>
        <v>8.3333333333333332E-3</v>
      </c>
      <c r="E549" s="5">
        <f t="shared" si="25"/>
        <v>6.6666666666666666E-2</v>
      </c>
      <c r="F549" s="5">
        <v>12.5</v>
      </c>
      <c r="G549" s="5">
        <v>0</v>
      </c>
      <c r="H549" s="5">
        <v>-2</v>
      </c>
      <c r="I549" s="5">
        <v>1.2</v>
      </c>
      <c r="J549" s="5">
        <v>0.5</v>
      </c>
      <c r="M549" s="5">
        <v>2</v>
      </c>
      <c r="N549" s="5">
        <v>1</v>
      </c>
      <c r="P549" s="5" t="s">
        <v>173</v>
      </c>
    </row>
    <row r="550" spans="1:16" s="5" customFormat="1" x14ac:dyDescent="0.25">
      <c r="A550" s="6">
        <v>44980</v>
      </c>
      <c r="B550" s="5">
        <v>68</v>
      </c>
      <c r="C550" s="5">
        <v>26</v>
      </c>
      <c r="D550" s="5">
        <f t="shared" si="24"/>
        <v>8.3333333333333332E-3</v>
      </c>
      <c r="E550" s="5">
        <f t="shared" si="25"/>
        <v>6.6666666666666666E-2</v>
      </c>
      <c r="F550" s="5">
        <v>12.5</v>
      </c>
      <c r="G550" s="5">
        <v>0</v>
      </c>
      <c r="H550" s="5">
        <v>-2</v>
      </c>
      <c r="I550" s="5">
        <v>1.2</v>
      </c>
      <c r="J550" s="5">
        <v>0.5</v>
      </c>
      <c r="M550" s="5">
        <v>2</v>
      </c>
      <c r="N550" s="5">
        <v>1</v>
      </c>
      <c r="P550" s="5" t="s">
        <v>170</v>
      </c>
    </row>
    <row r="551" spans="1:16" s="5" customFormat="1" x14ac:dyDescent="0.25">
      <c r="A551" s="6">
        <v>45007</v>
      </c>
      <c r="B551" s="5">
        <v>69</v>
      </c>
      <c r="C551" s="5">
        <v>2</v>
      </c>
      <c r="D551" s="5">
        <f t="shared" si="24"/>
        <v>8.3333333333333332E-3</v>
      </c>
      <c r="E551" s="5">
        <f t="shared" si="25"/>
        <v>6.6666666666666666E-2</v>
      </c>
      <c r="F551" s="5">
        <v>12.5</v>
      </c>
      <c r="G551" s="5">
        <v>0</v>
      </c>
      <c r="H551" s="5">
        <v>-2</v>
      </c>
      <c r="I551" s="5">
        <v>1.2</v>
      </c>
      <c r="J551" s="5">
        <v>0.5</v>
      </c>
      <c r="M551" s="5">
        <v>2</v>
      </c>
      <c r="N551" s="5">
        <v>1</v>
      </c>
      <c r="P551" s="5" t="s">
        <v>170</v>
      </c>
    </row>
    <row r="552" spans="1:16" s="5" customFormat="1" x14ac:dyDescent="0.25">
      <c r="A552" s="6">
        <v>45007</v>
      </c>
      <c r="B552" s="5">
        <v>69</v>
      </c>
      <c r="C552" s="5">
        <v>3</v>
      </c>
      <c r="D552" s="5">
        <f t="shared" si="24"/>
        <v>8.3333333333333332E-3</v>
      </c>
      <c r="E552" s="5">
        <f t="shared" si="25"/>
        <v>6.6666666666666666E-2</v>
      </c>
      <c r="F552" s="5">
        <v>12.5</v>
      </c>
      <c r="G552" s="5">
        <v>0</v>
      </c>
      <c r="H552" s="5">
        <v>-2</v>
      </c>
      <c r="I552" s="5">
        <v>1.2</v>
      </c>
      <c r="J552" s="5">
        <v>0.5</v>
      </c>
      <c r="M552" s="5">
        <v>2</v>
      </c>
      <c r="N552" s="5">
        <v>1</v>
      </c>
      <c r="P552" s="5" t="s">
        <v>303</v>
      </c>
    </row>
    <row r="553" spans="1:16" s="5" customFormat="1" x14ac:dyDescent="0.25">
      <c r="A553" s="6">
        <v>45007</v>
      </c>
      <c r="B553" s="5">
        <v>69</v>
      </c>
      <c r="C553" s="5">
        <v>5</v>
      </c>
      <c r="D553" s="5">
        <f t="shared" si="24"/>
        <v>8.3333333333333332E-3</v>
      </c>
      <c r="E553" s="5">
        <f t="shared" si="25"/>
        <v>6.6666666666666666E-2</v>
      </c>
      <c r="F553" s="5">
        <v>12.5</v>
      </c>
      <c r="G553" s="5">
        <v>0</v>
      </c>
      <c r="H553" s="5">
        <v>-2</v>
      </c>
      <c r="I553" s="5">
        <v>1.2</v>
      </c>
      <c r="J553" s="5">
        <v>0.5</v>
      </c>
      <c r="M553" s="5">
        <v>2</v>
      </c>
      <c r="N553" s="5">
        <v>1</v>
      </c>
      <c r="P553" s="5" t="s">
        <v>193</v>
      </c>
    </row>
    <row r="554" spans="1:16" s="5" customFormat="1" x14ac:dyDescent="0.25">
      <c r="A554" s="6">
        <v>45007</v>
      </c>
      <c r="B554" s="5">
        <v>69</v>
      </c>
      <c r="C554" s="5">
        <v>7</v>
      </c>
      <c r="D554" s="5">
        <f t="shared" si="24"/>
        <v>8.3333333333333332E-3</v>
      </c>
      <c r="E554" s="5">
        <f t="shared" si="25"/>
        <v>6.6666666666666666E-2</v>
      </c>
      <c r="F554" s="5">
        <v>12.5</v>
      </c>
      <c r="G554" s="5">
        <v>0</v>
      </c>
      <c r="H554" s="5">
        <v>-2</v>
      </c>
      <c r="I554" s="5">
        <v>1.2</v>
      </c>
      <c r="J554" s="5">
        <v>0.5</v>
      </c>
      <c r="M554" s="5">
        <v>2</v>
      </c>
      <c r="N554" s="5">
        <v>1</v>
      </c>
      <c r="P554" s="5" t="s">
        <v>200</v>
      </c>
    </row>
    <row r="555" spans="1:16" s="5" customFormat="1" x14ac:dyDescent="0.25">
      <c r="A555" s="6">
        <v>45007</v>
      </c>
      <c r="B555" s="5">
        <v>69</v>
      </c>
      <c r="C555" s="5">
        <v>9</v>
      </c>
      <c r="D555" s="5">
        <f t="shared" si="24"/>
        <v>8.3333333333333332E-3</v>
      </c>
      <c r="E555" s="5">
        <f t="shared" si="25"/>
        <v>6.6666666666666666E-2</v>
      </c>
      <c r="F555" s="5">
        <v>12.5</v>
      </c>
      <c r="G555" s="5">
        <v>0</v>
      </c>
      <c r="H555" s="5">
        <v>-2</v>
      </c>
      <c r="I555" s="5">
        <v>1.2</v>
      </c>
      <c r="J555" s="5">
        <v>0.5</v>
      </c>
      <c r="M555" s="5">
        <v>2</v>
      </c>
      <c r="N555" s="5">
        <v>1</v>
      </c>
      <c r="P555" s="5" t="s">
        <v>175</v>
      </c>
    </row>
    <row r="556" spans="1:16" s="5" customFormat="1" x14ac:dyDescent="0.25">
      <c r="A556" s="6">
        <v>45007</v>
      </c>
      <c r="B556" s="5">
        <v>69</v>
      </c>
      <c r="C556" s="5">
        <v>10</v>
      </c>
      <c r="D556" s="5">
        <f t="shared" si="24"/>
        <v>8.3333333333333332E-3</v>
      </c>
      <c r="E556" s="5">
        <f t="shared" si="25"/>
        <v>6.6666666666666666E-2</v>
      </c>
      <c r="F556" s="5">
        <v>12.5</v>
      </c>
      <c r="G556" s="5">
        <v>0</v>
      </c>
      <c r="H556" s="5">
        <v>-2</v>
      </c>
      <c r="I556" s="5">
        <v>1.2</v>
      </c>
      <c r="J556" s="5">
        <v>0.5</v>
      </c>
      <c r="M556" s="5">
        <v>2</v>
      </c>
      <c r="N556" s="5">
        <v>1</v>
      </c>
      <c r="P556" s="5" t="s">
        <v>176</v>
      </c>
    </row>
    <row r="557" spans="1:16" s="5" customFormat="1" x14ac:dyDescent="0.25">
      <c r="A557" s="6">
        <v>45007</v>
      </c>
      <c r="B557" s="5">
        <v>69</v>
      </c>
      <c r="C557" s="5">
        <v>12</v>
      </c>
      <c r="D557" s="5">
        <f t="shared" si="24"/>
        <v>8.3333333333333332E-3</v>
      </c>
      <c r="E557" s="5">
        <f t="shared" si="25"/>
        <v>6.6666666666666666E-2</v>
      </c>
      <c r="F557" s="5">
        <v>12.5</v>
      </c>
      <c r="G557" s="5">
        <v>0</v>
      </c>
      <c r="H557" s="5">
        <v>-2</v>
      </c>
      <c r="I557" s="5">
        <v>1.2</v>
      </c>
      <c r="J557" s="5">
        <v>0.5</v>
      </c>
      <c r="M557" s="5">
        <v>2</v>
      </c>
      <c r="N557" s="5">
        <v>1</v>
      </c>
      <c r="P557" s="5" t="s">
        <v>170</v>
      </c>
    </row>
    <row r="558" spans="1:16" s="5" customFormat="1" x14ac:dyDescent="0.25">
      <c r="A558" s="6">
        <v>45007</v>
      </c>
      <c r="B558" s="5">
        <v>69</v>
      </c>
      <c r="C558" s="5">
        <v>14</v>
      </c>
      <c r="D558" s="5">
        <f t="shared" si="24"/>
        <v>8.3333333333333332E-3</v>
      </c>
      <c r="E558" s="5">
        <f t="shared" si="25"/>
        <v>6.6666666666666666E-2</v>
      </c>
      <c r="F558" s="5">
        <v>12.5</v>
      </c>
      <c r="G558" s="5">
        <v>0</v>
      </c>
      <c r="H558" s="5">
        <v>-2</v>
      </c>
      <c r="I558" s="5">
        <v>1.2</v>
      </c>
      <c r="J558" s="5">
        <v>0.5</v>
      </c>
      <c r="M558" s="5">
        <v>2</v>
      </c>
      <c r="N558" s="5">
        <v>1</v>
      </c>
      <c r="P558" s="5" t="s">
        <v>175</v>
      </c>
    </row>
    <row r="559" spans="1:16" s="5" customFormat="1" x14ac:dyDescent="0.25">
      <c r="A559" s="6">
        <v>45008</v>
      </c>
      <c r="B559" s="5">
        <v>70</v>
      </c>
      <c r="C559" s="5">
        <v>2</v>
      </c>
      <c r="D559" s="5">
        <f t="shared" si="24"/>
        <v>8.3333333333333332E-3</v>
      </c>
      <c r="E559" s="5">
        <f t="shared" si="25"/>
        <v>6.6666666666666666E-2</v>
      </c>
      <c r="F559" s="5">
        <v>12.5</v>
      </c>
      <c r="G559" s="5">
        <v>0</v>
      </c>
      <c r="H559" s="5">
        <v>-2</v>
      </c>
      <c r="I559" s="5">
        <v>1.2</v>
      </c>
      <c r="J559" s="5">
        <v>0.5</v>
      </c>
      <c r="M559" s="5">
        <v>2</v>
      </c>
      <c r="N559" s="5">
        <v>1</v>
      </c>
      <c r="P559" s="5" t="s">
        <v>304</v>
      </c>
    </row>
    <row r="560" spans="1:16" s="5" customFormat="1" x14ac:dyDescent="0.25">
      <c r="A560" s="6">
        <v>45008</v>
      </c>
      <c r="B560" s="5">
        <v>70</v>
      </c>
      <c r="C560" s="5">
        <v>3</v>
      </c>
      <c r="D560" s="5">
        <f t="shared" si="24"/>
        <v>8.3333333333333332E-3</v>
      </c>
      <c r="E560" s="5">
        <f t="shared" si="25"/>
        <v>6.6666666666666666E-2</v>
      </c>
      <c r="F560" s="5">
        <v>12.5</v>
      </c>
      <c r="G560" s="5">
        <v>0</v>
      </c>
      <c r="H560" s="5">
        <v>-2</v>
      </c>
      <c r="I560" s="5">
        <v>1.2</v>
      </c>
      <c r="J560" s="5">
        <v>0.5</v>
      </c>
      <c r="M560" s="5">
        <v>2</v>
      </c>
      <c r="N560" s="5">
        <v>1</v>
      </c>
      <c r="P560" s="5" t="s">
        <v>167</v>
      </c>
    </row>
    <row r="561" spans="1:16" s="5" customFormat="1" x14ac:dyDescent="0.25">
      <c r="A561" s="6">
        <v>45008</v>
      </c>
      <c r="B561" s="5">
        <v>70</v>
      </c>
      <c r="C561" s="5">
        <v>4</v>
      </c>
      <c r="D561" s="5">
        <f t="shared" si="24"/>
        <v>8.3333333333333332E-3</v>
      </c>
      <c r="E561" s="5">
        <f t="shared" si="25"/>
        <v>6.6666666666666666E-2</v>
      </c>
      <c r="F561" s="5">
        <v>12.5</v>
      </c>
      <c r="G561" s="5">
        <v>0</v>
      </c>
      <c r="H561" s="5">
        <v>-2</v>
      </c>
      <c r="I561" s="5">
        <v>1.2</v>
      </c>
      <c r="J561" s="5">
        <v>0.5</v>
      </c>
      <c r="M561" s="5">
        <v>2</v>
      </c>
      <c r="N561" s="5">
        <v>1</v>
      </c>
      <c r="P561" s="5" t="s">
        <v>173</v>
      </c>
    </row>
    <row r="562" spans="1:16" s="5" customFormat="1" x14ac:dyDescent="0.25">
      <c r="A562" s="6">
        <v>45008</v>
      </c>
      <c r="B562" s="5">
        <v>70</v>
      </c>
      <c r="C562" s="5">
        <v>7</v>
      </c>
      <c r="D562" s="5">
        <f t="shared" si="24"/>
        <v>8.3333333333333332E-3</v>
      </c>
      <c r="E562" s="5">
        <f t="shared" si="25"/>
        <v>6.6666666666666666E-2</v>
      </c>
      <c r="F562" s="5">
        <v>12.5</v>
      </c>
      <c r="G562" s="5">
        <v>0</v>
      </c>
      <c r="H562" s="5">
        <v>-2</v>
      </c>
      <c r="I562" s="5">
        <v>1.2</v>
      </c>
      <c r="J562" s="5">
        <v>0.5</v>
      </c>
      <c r="M562" s="5">
        <v>2</v>
      </c>
      <c r="N562" s="5">
        <v>1</v>
      </c>
      <c r="P562" s="5" t="s">
        <v>214</v>
      </c>
    </row>
    <row r="563" spans="1:16" s="5" customFormat="1" x14ac:dyDescent="0.25">
      <c r="A563" s="6">
        <v>45008</v>
      </c>
      <c r="B563" s="5">
        <v>70</v>
      </c>
      <c r="C563" s="5">
        <v>8</v>
      </c>
      <c r="D563" s="5">
        <f t="shared" si="24"/>
        <v>8.3333333333333332E-3</v>
      </c>
      <c r="E563" s="5">
        <f t="shared" si="25"/>
        <v>6.6666666666666666E-2</v>
      </c>
      <c r="F563" s="5">
        <v>12.5</v>
      </c>
      <c r="G563" s="5">
        <v>0</v>
      </c>
      <c r="H563" s="5">
        <v>-2</v>
      </c>
      <c r="I563" s="5">
        <v>1.2</v>
      </c>
      <c r="J563" s="5">
        <v>0.5</v>
      </c>
      <c r="M563" s="5">
        <v>2</v>
      </c>
      <c r="N563" s="5">
        <v>1</v>
      </c>
      <c r="P563" s="5" t="s">
        <v>218</v>
      </c>
    </row>
    <row r="564" spans="1:16" s="5" customFormat="1" x14ac:dyDescent="0.25">
      <c r="A564" s="6">
        <v>45008</v>
      </c>
      <c r="B564" s="5">
        <v>70</v>
      </c>
      <c r="C564" s="5">
        <v>9</v>
      </c>
      <c r="D564" s="5">
        <f t="shared" si="24"/>
        <v>8.3333333333333332E-3</v>
      </c>
      <c r="E564" s="5">
        <f t="shared" si="25"/>
        <v>6.6666666666666666E-2</v>
      </c>
      <c r="F564" s="5">
        <v>12.5</v>
      </c>
      <c r="G564" s="5">
        <v>0</v>
      </c>
      <c r="H564" s="5">
        <v>-2</v>
      </c>
      <c r="I564" s="5">
        <v>1.2</v>
      </c>
      <c r="J564" s="5">
        <v>0.5</v>
      </c>
      <c r="M564" s="5">
        <v>2</v>
      </c>
      <c r="N564" s="5">
        <v>1</v>
      </c>
      <c r="P564" s="5" t="s">
        <v>201</v>
      </c>
    </row>
    <row r="565" spans="1:16" s="5" customFormat="1" x14ac:dyDescent="0.25">
      <c r="A565" s="6">
        <v>45008</v>
      </c>
      <c r="B565" s="5">
        <v>70</v>
      </c>
      <c r="C565" s="5">
        <v>11</v>
      </c>
      <c r="D565" s="5">
        <f t="shared" si="24"/>
        <v>8.3333333333333332E-3</v>
      </c>
      <c r="E565" s="5">
        <f t="shared" si="25"/>
        <v>6.6666666666666666E-2</v>
      </c>
      <c r="F565" s="5">
        <v>12.5</v>
      </c>
      <c r="G565" s="5">
        <v>0</v>
      </c>
      <c r="H565" s="5">
        <v>-2</v>
      </c>
      <c r="I565" s="5">
        <v>1.2</v>
      </c>
      <c r="J565" s="5">
        <v>0.5</v>
      </c>
      <c r="M565" s="5">
        <v>2</v>
      </c>
      <c r="N565" s="5">
        <v>1</v>
      </c>
      <c r="P565" s="5" t="s">
        <v>194</v>
      </c>
    </row>
    <row r="566" spans="1:16" s="5" customFormat="1" x14ac:dyDescent="0.25">
      <c r="A566" s="6">
        <v>45008</v>
      </c>
      <c r="B566" s="5">
        <v>70</v>
      </c>
      <c r="C566" s="5">
        <v>12</v>
      </c>
      <c r="D566" s="5">
        <f t="shared" si="24"/>
        <v>8.3333333333333332E-3</v>
      </c>
      <c r="E566" s="5">
        <f t="shared" si="25"/>
        <v>6.6666666666666666E-2</v>
      </c>
      <c r="F566" s="5">
        <v>12.5</v>
      </c>
      <c r="G566" s="5">
        <v>0</v>
      </c>
      <c r="H566" s="5">
        <v>-2</v>
      </c>
      <c r="I566" s="5">
        <v>1.2</v>
      </c>
      <c r="J566" s="5">
        <v>0.5</v>
      </c>
      <c r="M566" s="5">
        <v>2</v>
      </c>
      <c r="N566" s="5">
        <v>1</v>
      </c>
      <c r="P566" s="5" t="s">
        <v>200</v>
      </c>
    </row>
    <row r="567" spans="1:16" s="5" customFormat="1" x14ac:dyDescent="0.25">
      <c r="A567" s="6">
        <v>45008</v>
      </c>
      <c r="B567" s="5">
        <v>70</v>
      </c>
      <c r="C567" s="5">
        <v>14</v>
      </c>
      <c r="D567" s="5">
        <f t="shared" si="24"/>
        <v>8.3333333333333332E-3</v>
      </c>
      <c r="E567" s="5">
        <f t="shared" si="25"/>
        <v>6.6666666666666666E-2</v>
      </c>
      <c r="F567" s="5">
        <v>12.5</v>
      </c>
      <c r="G567" s="5">
        <v>0</v>
      </c>
      <c r="H567" s="5">
        <v>-2</v>
      </c>
      <c r="I567" s="5">
        <v>1.2</v>
      </c>
      <c r="J567" s="5">
        <v>0.5</v>
      </c>
      <c r="M567" s="5">
        <v>2</v>
      </c>
      <c r="N567" s="5">
        <v>1</v>
      </c>
      <c r="P567" s="5" t="s">
        <v>170</v>
      </c>
    </row>
    <row r="568" spans="1:16" s="5" customFormat="1" x14ac:dyDescent="0.25">
      <c r="A568" s="6">
        <v>45008</v>
      </c>
      <c r="B568" s="5">
        <v>70</v>
      </c>
      <c r="C568" s="5">
        <v>16</v>
      </c>
      <c r="D568" s="5">
        <f t="shared" si="24"/>
        <v>8.3333333333333332E-3</v>
      </c>
      <c r="E568" s="5">
        <f t="shared" si="25"/>
        <v>6.6666666666666666E-2</v>
      </c>
      <c r="F568" s="5">
        <v>12.5</v>
      </c>
      <c r="G568" s="5">
        <v>0</v>
      </c>
      <c r="H568" s="5">
        <v>-2</v>
      </c>
      <c r="I568" s="5">
        <v>1.2</v>
      </c>
      <c r="J568" s="5">
        <v>0.5</v>
      </c>
      <c r="M568" s="5">
        <v>2</v>
      </c>
      <c r="N568" s="5">
        <v>1</v>
      </c>
      <c r="P568" s="5" t="s">
        <v>177</v>
      </c>
    </row>
    <row r="569" spans="1:16" s="5" customFormat="1" x14ac:dyDescent="0.25">
      <c r="A569" s="6">
        <v>45008</v>
      </c>
      <c r="B569" s="5">
        <v>70</v>
      </c>
      <c r="C569" s="5">
        <v>17</v>
      </c>
      <c r="D569" s="5">
        <f t="shared" si="24"/>
        <v>8.3333333333333332E-3</v>
      </c>
      <c r="E569" s="5">
        <f t="shared" si="25"/>
        <v>6.6666666666666666E-2</v>
      </c>
      <c r="F569" s="5">
        <v>12.5</v>
      </c>
      <c r="G569" s="5">
        <v>0</v>
      </c>
      <c r="H569" s="5">
        <v>-2</v>
      </c>
      <c r="I569" s="5">
        <v>1.2</v>
      </c>
      <c r="J569" s="5">
        <v>0.5</v>
      </c>
      <c r="M569" s="5">
        <v>2</v>
      </c>
      <c r="N569" s="5">
        <v>1</v>
      </c>
      <c r="P569" s="5" t="s">
        <v>178</v>
      </c>
    </row>
    <row r="570" spans="1:16" s="5" customFormat="1" x14ac:dyDescent="0.25">
      <c r="A570" s="6">
        <v>45008</v>
      </c>
      <c r="B570" s="5">
        <v>70</v>
      </c>
      <c r="C570" s="5">
        <v>18</v>
      </c>
      <c r="D570" s="5">
        <f t="shared" si="24"/>
        <v>8.3333333333333332E-3</v>
      </c>
      <c r="E570" s="5">
        <f t="shared" si="25"/>
        <v>6.6666666666666666E-2</v>
      </c>
      <c r="F570" s="5">
        <v>12.5</v>
      </c>
      <c r="G570" s="5">
        <v>0</v>
      </c>
      <c r="H570" s="5">
        <v>-2</v>
      </c>
      <c r="I570" s="5">
        <v>1.2</v>
      </c>
      <c r="J570" s="5">
        <v>0.5</v>
      </c>
      <c r="M570" s="5">
        <v>2</v>
      </c>
      <c r="N570" s="5">
        <v>1</v>
      </c>
      <c r="P570" s="5" t="s">
        <v>179</v>
      </c>
    </row>
    <row r="571" spans="1:16" s="5" customFormat="1" x14ac:dyDescent="0.25">
      <c r="A571" s="6">
        <v>45008</v>
      </c>
      <c r="B571" s="5">
        <v>70</v>
      </c>
      <c r="C571" s="5">
        <v>20</v>
      </c>
      <c r="D571" s="5">
        <f t="shared" si="24"/>
        <v>8.3333333333333332E-3</v>
      </c>
      <c r="E571" s="5">
        <f t="shared" si="25"/>
        <v>6.6666666666666666E-2</v>
      </c>
      <c r="F571" s="5">
        <v>12.5</v>
      </c>
      <c r="G571" s="5">
        <v>0</v>
      </c>
      <c r="H571" s="5">
        <v>-2</v>
      </c>
      <c r="I571" s="5">
        <v>1.2</v>
      </c>
      <c r="J571" s="5">
        <v>0.5</v>
      </c>
      <c r="M571" s="5">
        <v>2</v>
      </c>
      <c r="N571" s="5">
        <v>1</v>
      </c>
      <c r="P571" s="5" t="s">
        <v>180</v>
      </c>
    </row>
    <row r="572" spans="1:16" s="5" customFormat="1" x14ac:dyDescent="0.25">
      <c r="A572" s="6">
        <v>45008</v>
      </c>
      <c r="B572" s="5">
        <v>70</v>
      </c>
      <c r="C572" s="5">
        <v>21</v>
      </c>
      <c r="D572" s="5">
        <f t="shared" si="24"/>
        <v>8.3333333333333332E-3</v>
      </c>
      <c r="E572" s="5">
        <f t="shared" si="25"/>
        <v>6.6666666666666666E-2</v>
      </c>
      <c r="F572" s="5">
        <v>12.5</v>
      </c>
      <c r="G572" s="5">
        <v>0</v>
      </c>
      <c r="H572" s="5">
        <v>-2</v>
      </c>
      <c r="I572" s="5">
        <v>1.2</v>
      </c>
      <c r="J572" s="5">
        <v>0.5</v>
      </c>
      <c r="M572" s="5">
        <v>2</v>
      </c>
      <c r="N572" s="5">
        <v>1</v>
      </c>
      <c r="P572" s="5" t="s">
        <v>181</v>
      </c>
    </row>
    <row r="573" spans="1:16" s="5" customFormat="1" x14ac:dyDescent="0.25">
      <c r="A573" s="6">
        <v>45008</v>
      </c>
      <c r="B573" s="5">
        <v>70</v>
      </c>
      <c r="C573" s="5">
        <v>22</v>
      </c>
      <c r="D573" s="5">
        <f t="shared" si="24"/>
        <v>8.3333333333333332E-3</v>
      </c>
      <c r="E573" s="5">
        <f t="shared" si="25"/>
        <v>6.6666666666666666E-2</v>
      </c>
      <c r="F573" s="5">
        <v>12.5</v>
      </c>
      <c r="G573" s="5">
        <v>0</v>
      </c>
      <c r="H573" s="5">
        <v>-2</v>
      </c>
      <c r="I573" s="5">
        <v>1.2</v>
      </c>
      <c r="J573" s="5">
        <v>0.5</v>
      </c>
      <c r="M573" s="5">
        <v>2</v>
      </c>
      <c r="N573" s="5">
        <v>1</v>
      </c>
      <c r="P573" s="5" t="s">
        <v>182</v>
      </c>
    </row>
    <row r="574" spans="1:16" s="5" customFormat="1" x14ac:dyDescent="0.25">
      <c r="A574" s="6">
        <v>45008</v>
      </c>
      <c r="B574" s="5">
        <v>70</v>
      </c>
      <c r="C574" s="5">
        <v>24</v>
      </c>
      <c r="D574" s="5">
        <f t="shared" si="24"/>
        <v>8.3333333333333332E-3</v>
      </c>
      <c r="E574" s="5">
        <f t="shared" si="25"/>
        <v>6.6666666666666666E-2</v>
      </c>
      <c r="F574" s="5">
        <v>12.5</v>
      </c>
      <c r="G574" s="5">
        <v>0</v>
      </c>
      <c r="H574" s="5">
        <v>-2</v>
      </c>
      <c r="I574" s="5">
        <v>1.2</v>
      </c>
      <c r="J574" s="5">
        <v>0.5</v>
      </c>
      <c r="M574" s="5">
        <v>2</v>
      </c>
      <c r="N574" s="5">
        <v>1</v>
      </c>
      <c r="P574" s="5" t="s">
        <v>183</v>
      </c>
    </row>
    <row r="575" spans="1:16" s="5" customFormat="1" x14ac:dyDescent="0.25">
      <c r="A575" s="6">
        <v>45008</v>
      </c>
      <c r="B575" s="5">
        <v>70</v>
      </c>
      <c r="C575" s="5">
        <v>25</v>
      </c>
      <c r="D575" s="5">
        <f t="shared" si="24"/>
        <v>8.3333333333333332E-3</v>
      </c>
      <c r="E575" s="5">
        <f t="shared" si="25"/>
        <v>6.6666666666666666E-2</v>
      </c>
      <c r="F575" s="5">
        <v>12.5</v>
      </c>
      <c r="G575" s="5">
        <v>0</v>
      </c>
      <c r="H575" s="5">
        <v>-2</v>
      </c>
      <c r="I575" s="5">
        <v>1.2</v>
      </c>
      <c r="J575" s="5">
        <v>0.5</v>
      </c>
      <c r="M575" s="5">
        <v>2</v>
      </c>
      <c r="N575" s="5">
        <v>1</v>
      </c>
      <c r="P575" s="5" t="s">
        <v>184</v>
      </c>
    </row>
    <row r="576" spans="1:16" s="5" customFormat="1" x14ac:dyDescent="0.25">
      <c r="A576" s="6">
        <v>45016</v>
      </c>
      <c r="B576" s="5">
        <v>71</v>
      </c>
      <c r="C576" s="5">
        <v>2</v>
      </c>
      <c r="D576" s="5">
        <f t="shared" si="24"/>
        <v>8.3333333333333332E-3</v>
      </c>
      <c r="E576" s="5">
        <f t="shared" si="25"/>
        <v>6.6666666666666666E-2</v>
      </c>
      <c r="F576" s="5">
        <v>12.5</v>
      </c>
      <c r="G576" s="5">
        <v>0</v>
      </c>
      <c r="H576" s="5">
        <v>-2</v>
      </c>
      <c r="I576" s="5">
        <v>1.2</v>
      </c>
      <c r="J576" s="5">
        <v>0.5</v>
      </c>
      <c r="M576" s="5">
        <v>2</v>
      </c>
      <c r="N576" s="5">
        <v>1</v>
      </c>
      <c r="P576" s="5" t="s">
        <v>305</v>
      </c>
    </row>
    <row r="577" spans="1:16" s="5" customFormat="1" x14ac:dyDescent="0.25">
      <c r="A577" s="6">
        <v>45016</v>
      </c>
      <c r="B577" s="5">
        <v>71</v>
      </c>
      <c r="C577" s="5">
        <v>3</v>
      </c>
      <c r="D577" s="5">
        <f t="shared" si="24"/>
        <v>8.3333333333333332E-3</v>
      </c>
      <c r="E577" s="5">
        <f t="shared" si="25"/>
        <v>6.6666666666666666E-2</v>
      </c>
      <c r="F577" s="5">
        <v>12.5</v>
      </c>
      <c r="G577" s="5">
        <v>0</v>
      </c>
      <c r="H577" s="5">
        <v>-2</v>
      </c>
      <c r="I577" s="5">
        <v>1.2</v>
      </c>
      <c r="J577" s="5">
        <v>0.5</v>
      </c>
      <c r="M577" s="5">
        <v>2</v>
      </c>
      <c r="N577" s="5">
        <v>1</v>
      </c>
      <c r="P577" s="5" t="s">
        <v>199</v>
      </c>
    </row>
    <row r="578" spans="1:16" s="5" customFormat="1" x14ac:dyDescent="0.25">
      <c r="A578" s="6">
        <v>45016</v>
      </c>
      <c r="B578" s="5">
        <v>71</v>
      </c>
      <c r="C578" s="5">
        <v>6</v>
      </c>
      <c r="D578" s="5">
        <f t="shared" si="24"/>
        <v>8.3333333333333332E-3</v>
      </c>
      <c r="E578" s="5">
        <f t="shared" si="25"/>
        <v>6.6666666666666666E-2</v>
      </c>
      <c r="F578" s="5">
        <v>12.5</v>
      </c>
      <c r="G578" s="5">
        <v>0</v>
      </c>
      <c r="H578" s="5">
        <v>-2</v>
      </c>
      <c r="I578" s="5">
        <v>1.2</v>
      </c>
      <c r="J578" s="5">
        <v>0.5</v>
      </c>
      <c r="M578" s="5">
        <v>2</v>
      </c>
      <c r="N578" s="5">
        <v>1</v>
      </c>
      <c r="P578" s="5" t="s">
        <v>215</v>
      </c>
    </row>
    <row r="579" spans="1:16" s="5" customFormat="1" x14ac:dyDescent="0.25">
      <c r="A579" s="6">
        <v>45016</v>
      </c>
      <c r="B579" s="5">
        <v>71</v>
      </c>
      <c r="C579" s="5">
        <v>7</v>
      </c>
      <c r="D579" s="5">
        <f t="shared" si="24"/>
        <v>8.3333333333333332E-3</v>
      </c>
      <c r="E579" s="5">
        <f t="shared" si="25"/>
        <v>6.6666666666666666E-2</v>
      </c>
      <c r="F579" s="5">
        <v>12.5</v>
      </c>
      <c r="G579" s="5">
        <v>0</v>
      </c>
      <c r="H579" s="5">
        <v>-2</v>
      </c>
      <c r="I579" s="5">
        <v>1.2</v>
      </c>
      <c r="J579" s="5">
        <v>0.5</v>
      </c>
      <c r="M579" s="5">
        <v>2</v>
      </c>
      <c r="N579" s="5">
        <v>1</v>
      </c>
      <c r="P579" s="5" t="s">
        <v>217</v>
      </c>
    </row>
    <row r="580" spans="1:16" s="5" customFormat="1" x14ac:dyDescent="0.25">
      <c r="A580" s="6">
        <v>45016</v>
      </c>
      <c r="B580" s="5">
        <v>71</v>
      </c>
      <c r="C580" s="5">
        <v>9</v>
      </c>
      <c r="D580" s="5">
        <f t="shared" si="24"/>
        <v>8.3333333333333332E-3</v>
      </c>
      <c r="E580" s="5">
        <f t="shared" si="25"/>
        <v>6.6666666666666666E-2</v>
      </c>
      <c r="F580" s="5">
        <v>12.5</v>
      </c>
      <c r="G580" s="5">
        <v>0</v>
      </c>
      <c r="H580" s="5">
        <v>-2</v>
      </c>
      <c r="I580" s="5">
        <v>1.2</v>
      </c>
      <c r="J580" s="5">
        <v>0.5</v>
      </c>
      <c r="M580" s="5">
        <v>2</v>
      </c>
      <c r="N580" s="5">
        <v>1</v>
      </c>
      <c r="P580" s="5" t="s">
        <v>193</v>
      </c>
    </row>
    <row r="581" spans="1:16" s="5" customFormat="1" x14ac:dyDescent="0.25">
      <c r="A581" s="6">
        <v>45016</v>
      </c>
      <c r="B581" s="5">
        <v>71</v>
      </c>
      <c r="C581" s="5">
        <v>10</v>
      </c>
      <c r="D581" s="5">
        <f t="shared" si="24"/>
        <v>8.3333333333333332E-3</v>
      </c>
      <c r="E581" s="5">
        <f t="shared" si="25"/>
        <v>6.6666666666666666E-2</v>
      </c>
      <c r="F581" s="5">
        <v>12.5</v>
      </c>
      <c r="G581" s="5">
        <v>0</v>
      </c>
      <c r="H581" s="5">
        <v>-2</v>
      </c>
      <c r="I581" s="5">
        <v>1.2</v>
      </c>
      <c r="J581" s="5">
        <v>0.5</v>
      </c>
      <c r="M581" s="5">
        <v>2</v>
      </c>
      <c r="N581" s="5">
        <v>1</v>
      </c>
      <c r="P581" s="5" t="s">
        <v>200</v>
      </c>
    </row>
    <row r="582" spans="1:16" s="5" customFormat="1" x14ac:dyDescent="0.25">
      <c r="A582" s="6">
        <v>45016</v>
      </c>
      <c r="B582" s="5">
        <v>71</v>
      </c>
      <c r="C582" s="5">
        <v>11</v>
      </c>
      <c r="D582" s="5">
        <f t="shared" si="24"/>
        <v>8.3333333333333332E-3</v>
      </c>
      <c r="E582" s="5">
        <f t="shared" si="25"/>
        <v>6.6666666666666666E-2</v>
      </c>
      <c r="F582" s="5">
        <v>12.5</v>
      </c>
      <c r="G582" s="5">
        <v>0</v>
      </c>
      <c r="H582" s="5">
        <v>-2</v>
      </c>
      <c r="I582" s="5">
        <v>1.2</v>
      </c>
      <c r="J582" s="5">
        <v>0.5</v>
      </c>
      <c r="M582" s="5">
        <v>2</v>
      </c>
      <c r="N582" s="5">
        <v>1</v>
      </c>
      <c r="P582" s="5" t="s">
        <v>202</v>
      </c>
    </row>
    <row r="583" spans="1:16" s="5" customFormat="1" x14ac:dyDescent="0.25">
      <c r="A583" s="6">
        <v>45016</v>
      </c>
      <c r="B583" s="5">
        <v>71</v>
      </c>
      <c r="C583" s="5">
        <v>13</v>
      </c>
      <c r="D583" s="5">
        <f t="shared" si="24"/>
        <v>8.3333333333333332E-3</v>
      </c>
      <c r="E583" s="5">
        <f t="shared" si="25"/>
        <v>6.6666666666666666E-2</v>
      </c>
      <c r="F583" s="5">
        <v>12.5</v>
      </c>
      <c r="G583" s="5">
        <v>0</v>
      </c>
      <c r="H583" s="5">
        <v>-2</v>
      </c>
      <c r="I583" s="5">
        <v>1.2</v>
      </c>
      <c r="J583" s="5">
        <v>0.5</v>
      </c>
      <c r="M583" s="5">
        <v>2</v>
      </c>
      <c r="N583" s="5">
        <v>1</v>
      </c>
      <c r="P583" s="5" t="s">
        <v>170</v>
      </c>
    </row>
    <row r="584" spans="1:16" s="5" customFormat="1" x14ac:dyDescent="0.25">
      <c r="A584" s="6">
        <v>45016</v>
      </c>
      <c r="B584" s="5">
        <v>71</v>
      </c>
      <c r="C584" s="5">
        <v>15</v>
      </c>
      <c r="D584" s="5">
        <f t="shared" si="24"/>
        <v>8.3333333333333332E-3</v>
      </c>
      <c r="E584" s="5">
        <f t="shared" si="25"/>
        <v>6.6666666666666666E-2</v>
      </c>
      <c r="F584" s="5">
        <v>12.5</v>
      </c>
      <c r="G584" s="5">
        <v>0</v>
      </c>
      <c r="H584" s="5">
        <v>-2</v>
      </c>
      <c r="I584" s="5">
        <v>1.2</v>
      </c>
      <c r="J584" s="5">
        <v>0.5</v>
      </c>
      <c r="M584" s="5">
        <v>2</v>
      </c>
      <c r="N584" s="5">
        <v>1</v>
      </c>
      <c r="P584" s="5" t="s">
        <v>185</v>
      </c>
    </row>
    <row r="585" spans="1:16" s="5" customFormat="1" x14ac:dyDescent="0.25">
      <c r="A585" s="6">
        <v>45016</v>
      </c>
      <c r="B585" s="5">
        <v>72</v>
      </c>
      <c r="C585" s="5">
        <v>17</v>
      </c>
      <c r="D585" s="5">
        <f t="shared" si="24"/>
        <v>8.3333333333333332E-3</v>
      </c>
      <c r="E585" s="5">
        <f t="shared" si="25"/>
        <v>6.6666666666666666E-2</v>
      </c>
      <c r="F585" s="5">
        <v>12.5</v>
      </c>
      <c r="G585" s="5">
        <v>0</v>
      </c>
      <c r="H585" s="5">
        <v>-2</v>
      </c>
      <c r="I585" s="5">
        <v>1.2</v>
      </c>
      <c r="J585" s="5">
        <v>0.5</v>
      </c>
      <c r="M585" s="5">
        <v>2</v>
      </c>
      <c r="N585" s="5">
        <v>1</v>
      </c>
      <c r="P585" s="5" t="s">
        <v>306</v>
      </c>
    </row>
    <row r="586" spans="1:16" s="5" customFormat="1" x14ac:dyDescent="0.25">
      <c r="A586" s="6">
        <v>45016</v>
      </c>
      <c r="B586" s="5">
        <v>72</v>
      </c>
      <c r="C586" s="5">
        <v>19</v>
      </c>
      <c r="D586" s="5">
        <f t="shared" si="24"/>
        <v>8.3333333333333332E-3</v>
      </c>
      <c r="E586" s="5">
        <f t="shared" si="25"/>
        <v>6.6666666666666666E-2</v>
      </c>
      <c r="F586" s="5">
        <v>12.5</v>
      </c>
      <c r="G586" s="5">
        <v>0</v>
      </c>
      <c r="H586" s="5">
        <v>-2</v>
      </c>
      <c r="I586" s="5">
        <v>1.2</v>
      </c>
      <c r="J586" s="5">
        <v>0.5</v>
      </c>
      <c r="M586" s="5">
        <v>2</v>
      </c>
      <c r="N586" s="5">
        <v>1</v>
      </c>
      <c r="P586" s="5" t="s">
        <v>248</v>
      </c>
    </row>
    <row r="587" spans="1:16" s="5" customFormat="1" x14ac:dyDescent="0.25">
      <c r="A587" s="6">
        <v>45016</v>
      </c>
      <c r="B587" s="5">
        <v>72</v>
      </c>
      <c r="C587" s="5">
        <v>20</v>
      </c>
      <c r="D587" s="5">
        <f t="shared" si="24"/>
        <v>8.3333333333333332E-3</v>
      </c>
      <c r="E587" s="5">
        <f t="shared" si="25"/>
        <v>6.6666666666666666E-2</v>
      </c>
      <c r="F587" s="5">
        <v>12.5</v>
      </c>
      <c r="G587" s="5">
        <v>0</v>
      </c>
      <c r="H587" s="5">
        <v>-2</v>
      </c>
      <c r="I587" s="5">
        <v>1.2</v>
      </c>
      <c r="J587" s="5">
        <v>0.5</v>
      </c>
      <c r="M587" s="5">
        <v>2</v>
      </c>
      <c r="N587" s="5">
        <v>1</v>
      </c>
      <c r="P587" s="5" t="s">
        <v>249</v>
      </c>
    </row>
    <row r="588" spans="1:16" s="5" customFormat="1" x14ac:dyDescent="0.25">
      <c r="A588" s="6">
        <v>45016</v>
      </c>
      <c r="B588" s="5">
        <v>72</v>
      </c>
      <c r="C588" s="5">
        <v>21</v>
      </c>
      <c r="D588" s="5">
        <f t="shared" si="24"/>
        <v>8.3333333333333332E-3</v>
      </c>
      <c r="E588" s="5">
        <f t="shared" si="25"/>
        <v>6.6666666666666666E-2</v>
      </c>
      <c r="F588" s="5">
        <v>12.5</v>
      </c>
      <c r="G588" s="5">
        <v>0</v>
      </c>
      <c r="H588" s="5">
        <v>-2</v>
      </c>
      <c r="I588" s="5">
        <v>1.2</v>
      </c>
      <c r="J588" s="5">
        <v>0.5</v>
      </c>
      <c r="M588" s="5">
        <v>2</v>
      </c>
      <c r="N588" s="5">
        <v>1</v>
      </c>
      <c r="P588" s="5" t="s">
        <v>203</v>
      </c>
    </row>
    <row r="589" spans="1:16" s="5" customFormat="1" x14ac:dyDescent="0.25">
      <c r="A589" s="6">
        <v>45016</v>
      </c>
      <c r="B589" s="5">
        <v>72</v>
      </c>
      <c r="C589" s="5">
        <v>23</v>
      </c>
      <c r="D589" s="5">
        <f t="shared" si="24"/>
        <v>8.3333333333333332E-3</v>
      </c>
      <c r="E589" s="5">
        <f t="shared" si="25"/>
        <v>6.6666666666666666E-2</v>
      </c>
      <c r="F589" s="5">
        <v>12.5</v>
      </c>
      <c r="G589" s="5">
        <v>0</v>
      </c>
      <c r="H589" s="5">
        <v>-2</v>
      </c>
      <c r="I589" s="5">
        <v>1.2</v>
      </c>
      <c r="J589" s="5">
        <v>0.5</v>
      </c>
      <c r="M589" s="5">
        <v>2</v>
      </c>
      <c r="N589" s="5">
        <v>1</v>
      </c>
      <c r="P589" s="5" t="s">
        <v>195</v>
      </c>
    </row>
    <row r="590" spans="1:16" s="5" customFormat="1" x14ac:dyDescent="0.25">
      <c r="A590" s="6">
        <v>45016</v>
      </c>
      <c r="B590" s="5">
        <v>72</v>
      </c>
      <c r="C590" s="5">
        <v>24</v>
      </c>
      <c r="D590" s="5">
        <f t="shared" si="24"/>
        <v>8.3333333333333332E-3</v>
      </c>
      <c r="E590" s="5">
        <f t="shared" si="25"/>
        <v>6.6666666666666666E-2</v>
      </c>
      <c r="F590" s="5">
        <v>12.5</v>
      </c>
      <c r="G590" s="5">
        <v>0</v>
      </c>
      <c r="H590" s="5">
        <v>-2</v>
      </c>
      <c r="I590" s="5">
        <v>1.2</v>
      </c>
      <c r="J590" s="5">
        <v>0.5</v>
      </c>
      <c r="M590" s="5">
        <v>2</v>
      </c>
      <c r="N590" s="5">
        <v>1</v>
      </c>
      <c r="P590" s="5" t="s">
        <v>204</v>
      </c>
    </row>
    <row r="591" spans="1:16" s="5" customFormat="1" x14ac:dyDescent="0.25">
      <c r="A591" s="6">
        <v>45016</v>
      </c>
      <c r="B591" s="5">
        <v>72</v>
      </c>
      <c r="C591" s="5">
        <v>25</v>
      </c>
      <c r="D591" s="5">
        <f t="shared" si="24"/>
        <v>8.3333333333333332E-3</v>
      </c>
      <c r="E591" s="5">
        <f t="shared" si="25"/>
        <v>6.6666666666666666E-2</v>
      </c>
      <c r="F591" s="5">
        <v>12.5</v>
      </c>
      <c r="G591" s="5">
        <v>0</v>
      </c>
      <c r="H591" s="5">
        <v>-2</v>
      </c>
      <c r="I591" s="5">
        <v>1.2</v>
      </c>
      <c r="J591" s="5">
        <v>0.5</v>
      </c>
      <c r="M591" s="5">
        <v>2</v>
      </c>
      <c r="N591" s="5">
        <v>1</v>
      </c>
      <c r="P591" s="5" t="s">
        <v>205</v>
      </c>
    </row>
    <row r="592" spans="1:16" s="5" customFormat="1" x14ac:dyDescent="0.25">
      <c r="A592" s="6">
        <v>45019</v>
      </c>
      <c r="B592" s="5">
        <v>73</v>
      </c>
      <c r="C592" s="5">
        <v>3</v>
      </c>
      <c r="D592" s="5">
        <f t="shared" si="24"/>
        <v>8.3333333333333332E-3</v>
      </c>
      <c r="E592" s="5">
        <f t="shared" si="25"/>
        <v>6.6666666666666666E-2</v>
      </c>
      <c r="F592" s="5">
        <v>12.5</v>
      </c>
      <c r="G592" s="5">
        <v>0</v>
      </c>
      <c r="H592" s="5">
        <v>-2</v>
      </c>
      <c r="I592" s="5">
        <v>1.2</v>
      </c>
      <c r="J592" s="5">
        <v>0.5</v>
      </c>
      <c r="M592" s="5">
        <v>2</v>
      </c>
      <c r="N592" s="5">
        <v>1</v>
      </c>
      <c r="P592" s="5" t="s">
        <v>307</v>
      </c>
    </row>
    <row r="593" spans="1:16" s="5" customFormat="1" x14ac:dyDescent="0.25">
      <c r="A593" s="6">
        <v>45019</v>
      </c>
      <c r="B593" s="5">
        <v>73</v>
      </c>
      <c r="C593" s="5">
        <v>5</v>
      </c>
      <c r="D593" s="5">
        <f t="shared" si="24"/>
        <v>8.3333333333333332E-3</v>
      </c>
      <c r="E593" s="5">
        <f t="shared" si="25"/>
        <v>6.6666666666666666E-2</v>
      </c>
      <c r="F593" s="5">
        <v>12.5</v>
      </c>
      <c r="G593" s="5">
        <v>0</v>
      </c>
      <c r="H593" s="5">
        <v>-2</v>
      </c>
      <c r="I593" s="5">
        <v>1.2</v>
      </c>
      <c r="J593" s="5">
        <v>0.5</v>
      </c>
      <c r="M593" s="5">
        <v>2</v>
      </c>
      <c r="N593" s="5">
        <v>1</v>
      </c>
      <c r="P593" s="5" t="s">
        <v>216</v>
      </c>
    </row>
    <row r="594" spans="1:16" s="5" customFormat="1" x14ac:dyDescent="0.25">
      <c r="A594" s="6">
        <v>45019</v>
      </c>
      <c r="B594" s="5">
        <v>73</v>
      </c>
      <c r="C594" s="5">
        <v>6</v>
      </c>
      <c r="D594" s="5">
        <f t="shared" si="24"/>
        <v>8.3333333333333332E-3</v>
      </c>
      <c r="E594" s="5">
        <f t="shared" si="25"/>
        <v>6.6666666666666666E-2</v>
      </c>
      <c r="F594" s="5">
        <v>12.5</v>
      </c>
      <c r="G594" s="5">
        <v>0</v>
      </c>
      <c r="H594" s="5">
        <v>-2</v>
      </c>
      <c r="I594" s="5">
        <v>1.2</v>
      </c>
      <c r="J594" s="5">
        <v>0.5</v>
      </c>
      <c r="M594" s="5">
        <v>2</v>
      </c>
      <c r="N594" s="5">
        <v>1</v>
      </c>
      <c r="P594" s="5" t="s">
        <v>220</v>
      </c>
    </row>
    <row r="595" spans="1:16" s="5" customFormat="1" x14ac:dyDescent="0.25">
      <c r="A595" s="6">
        <v>45019</v>
      </c>
      <c r="B595" s="5">
        <v>73</v>
      </c>
      <c r="C595" s="5">
        <v>7</v>
      </c>
      <c r="D595" s="5">
        <f t="shared" si="24"/>
        <v>8.3333333333333332E-3</v>
      </c>
      <c r="E595" s="5">
        <f t="shared" si="25"/>
        <v>6.6666666666666666E-2</v>
      </c>
      <c r="F595" s="5">
        <v>12.5</v>
      </c>
      <c r="G595" s="5">
        <v>0</v>
      </c>
      <c r="H595" s="5">
        <v>-2</v>
      </c>
      <c r="I595" s="5">
        <v>1.2</v>
      </c>
      <c r="J595" s="5">
        <v>0.5</v>
      </c>
      <c r="M595" s="5">
        <v>2</v>
      </c>
      <c r="N595" s="5">
        <v>1</v>
      </c>
      <c r="P595" s="5" t="s">
        <v>206</v>
      </c>
    </row>
    <row r="596" spans="1:16" s="5" customFormat="1" x14ac:dyDescent="0.25">
      <c r="A596" s="6">
        <v>45019</v>
      </c>
      <c r="B596" s="5">
        <v>73</v>
      </c>
      <c r="C596" s="5">
        <v>9</v>
      </c>
      <c r="D596" s="5">
        <f t="shared" si="24"/>
        <v>8.3333333333333332E-3</v>
      </c>
      <c r="E596" s="5">
        <f t="shared" si="25"/>
        <v>6.6666666666666666E-2</v>
      </c>
      <c r="F596" s="5">
        <v>12.5</v>
      </c>
      <c r="G596" s="5">
        <v>0</v>
      </c>
      <c r="H596" s="5">
        <v>-2</v>
      </c>
      <c r="I596" s="5">
        <v>1.2</v>
      </c>
      <c r="J596" s="5">
        <v>0.5</v>
      </c>
      <c r="M596" s="5">
        <v>2</v>
      </c>
      <c r="N596" s="5">
        <v>1</v>
      </c>
      <c r="P596" s="5" t="s">
        <v>196</v>
      </c>
    </row>
    <row r="597" spans="1:16" s="5" customFormat="1" x14ac:dyDescent="0.25">
      <c r="A597" s="6">
        <v>45019</v>
      </c>
      <c r="B597" s="5">
        <v>73</v>
      </c>
      <c r="C597" s="5">
        <v>10</v>
      </c>
      <c r="D597" s="5">
        <f t="shared" si="24"/>
        <v>8.3333333333333332E-3</v>
      </c>
      <c r="E597" s="5">
        <f t="shared" si="25"/>
        <v>6.6666666666666666E-2</v>
      </c>
      <c r="F597" s="5">
        <v>12.5</v>
      </c>
      <c r="G597" s="5">
        <v>0</v>
      </c>
      <c r="H597" s="5">
        <v>-2</v>
      </c>
      <c r="I597" s="5">
        <v>1.2</v>
      </c>
      <c r="J597" s="5">
        <v>0.5</v>
      </c>
      <c r="M597" s="5">
        <v>2</v>
      </c>
      <c r="N597" s="5">
        <v>1</v>
      </c>
      <c r="P597" s="5" t="s">
        <v>207</v>
      </c>
    </row>
    <row r="598" spans="1:16" s="5" customFormat="1" x14ac:dyDescent="0.25">
      <c r="A598" s="6">
        <v>45019</v>
      </c>
      <c r="B598" s="5">
        <v>73</v>
      </c>
      <c r="C598" s="5">
        <v>11</v>
      </c>
      <c r="D598" s="5">
        <f t="shared" si="24"/>
        <v>8.3333333333333332E-3</v>
      </c>
      <c r="E598" s="5">
        <f t="shared" si="25"/>
        <v>6.6666666666666666E-2</v>
      </c>
      <c r="F598" s="5">
        <v>12.5</v>
      </c>
      <c r="G598" s="5">
        <v>0</v>
      </c>
      <c r="H598" s="5">
        <v>-2</v>
      </c>
      <c r="I598" s="5">
        <v>1.2</v>
      </c>
      <c r="J598" s="5">
        <v>0.5</v>
      </c>
      <c r="M598" s="5">
        <v>2</v>
      </c>
      <c r="N598" s="5">
        <v>1</v>
      </c>
      <c r="P598" s="5" t="s">
        <v>231</v>
      </c>
    </row>
    <row r="599" spans="1:16" s="5" customFormat="1" x14ac:dyDescent="0.25">
      <c r="A599" s="6">
        <v>45019</v>
      </c>
      <c r="B599" s="5">
        <v>73</v>
      </c>
      <c r="C599" s="5">
        <v>12</v>
      </c>
      <c r="D599" s="5">
        <f t="shared" si="24"/>
        <v>8.3333333333333332E-3</v>
      </c>
      <c r="E599" s="5">
        <f t="shared" si="25"/>
        <v>6.6666666666666666E-2</v>
      </c>
      <c r="F599" s="5">
        <v>12.5</v>
      </c>
      <c r="G599" s="5">
        <v>0</v>
      </c>
      <c r="H599" s="5">
        <v>-2</v>
      </c>
      <c r="I599" s="5">
        <v>1.2</v>
      </c>
      <c r="J599" s="5">
        <v>0.5</v>
      </c>
      <c r="M599" s="5">
        <v>2</v>
      </c>
      <c r="N599" s="5">
        <v>1</v>
      </c>
      <c r="P599" s="5" t="s">
        <v>232</v>
      </c>
    </row>
    <row r="600" spans="1:16" s="5" customFormat="1" x14ac:dyDescent="0.25">
      <c r="A600" s="6">
        <v>45019</v>
      </c>
      <c r="B600" s="5">
        <v>73</v>
      </c>
      <c r="C600" s="5">
        <v>14</v>
      </c>
      <c r="D600" s="5">
        <f t="shared" si="24"/>
        <v>8.3333333333333332E-3</v>
      </c>
      <c r="E600" s="5">
        <f t="shared" si="25"/>
        <v>6.6666666666666666E-2</v>
      </c>
      <c r="F600" s="5">
        <v>12.5</v>
      </c>
      <c r="G600" s="5">
        <v>0</v>
      </c>
      <c r="H600" s="5">
        <v>-2</v>
      </c>
      <c r="I600" s="5">
        <v>1.2</v>
      </c>
      <c r="J600" s="5">
        <v>0.5</v>
      </c>
      <c r="M600" s="5">
        <v>2</v>
      </c>
      <c r="N600" s="5">
        <v>1</v>
      </c>
      <c r="P600" s="5" t="s">
        <v>187</v>
      </c>
    </row>
    <row r="601" spans="1:16" s="5" customFormat="1" x14ac:dyDescent="0.25">
      <c r="A601" s="6">
        <v>45019</v>
      </c>
      <c r="B601" s="5">
        <v>73</v>
      </c>
      <c r="C601" s="5">
        <v>15</v>
      </c>
      <c r="D601" s="5">
        <f t="shared" si="24"/>
        <v>8.3333333333333332E-3</v>
      </c>
      <c r="E601" s="5">
        <f t="shared" si="25"/>
        <v>6.6666666666666666E-2</v>
      </c>
      <c r="F601" s="5">
        <v>12.5</v>
      </c>
      <c r="G601" s="5">
        <v>0</v>
      </c>
      <c r="H601" s="5">
        <v>-2</v>
      </c>
      <c r="I601" s="5">
        <v>1.2</v>
      </c>
      <c r="J601" s="5">
        <v>0.5</v>
      </c>
      <c r="M601" s="5">
        <v>2</v>
      </c>
      <c r="N601" s="5">
        <v>1</v>
      </c>
      <c r="P601" s="5" t="s">
        <v>188</v>
      </c>
    </row>
    <row r="602" spans="1:16" s="5" customFormat="1" x14ac:dyDescent="0.25">
      <c r="A602" s="6">
        <v>45019</v>
      </c>
      <c r="B602" s="5">
        <v>74</v>
      </c>
      <c r="C602" s="5">
        <v>18</v>
      </c>
      <c r="D602" s="5">
        <f t="shared" si="24"/>
        <v>8.3333333333333332E-3</v>
      </c>
      <c r="E602" s="5">
        <f t="shared" si="25"/>
        <v>6.6666666666666666E-2</v>
      </c>
      <c r="F602" s="5">
        <v>12.5</v>
      </c>
      <c r="G602" s="5">
        <v>0</v>
      </c>
      <c r="H602" s="5">
        <v>-2</v>
      </c>
      <c r="I602" s="5">
        <v>1.2</v>
      </c>
      <c r="J602" s="5">
        <v>0.5</v>
      </c>
      <c r="M602" s="5">
        <v>2</v>
      </c>
      <c r="N602" s="5">
        <v>1</v>
      </c>
      <c r="P602" s="5" t="s">
        <v>186</v>
      </c>
    </row>
    <row r="603" spans="1:16" s="5" customFormat="1" x14ac:dyDescent="0.25">
      <c r="A603" s="6">
        <v>45019</v>
      </c>
      <c r="B603" s="5">
        <v>75</v>
      </c>
      <c r="C603" s="5">
        <v>21</v>
      </c>
      <c r="D603" s="5">
        <f t="shared" si="24"/>
        <v>8.3333333333333332E-3</v>
      </c>
      <c r="E603" s="5">
        <f t="shared" si="25"/>
        <v>6.6666666666666666E-2</v>
      </c>
      <c r="F603" s="5">
        <v>12.5</v>
      </c>
      <c r="G603" s="5">
        <v>0</v>
      </c>
      <c r="H603" s="5">
        <v>-2</v>
      </c>
      <c r="I603" s="5">
        <v>1.2</v>
      </c>
      <c r="J603" s="5">
        <v>0.5</v>
      </c>
      <c r="M603" s="5">
        <v>2</v>
      </c>
      <c r="N603" s="5">
        <v>1</v>
      </c>
      <c r="P603" s="5" t="s">
        <v>308</v>
      </c>
    </row>
    <row r="604" spans="1:16" s="5" customFormat="1" x14ac:dyDescent="0.25">
      <c r="A604" s="6">
        <v>45019</v>
      </c>
      <c r="B604" s="5">
        <v>75</v>
      </c>
      <c r="C604" s="5">
        <v>22</v>
      </c>
      <c r="D604" s="5">
        <f t="shared" si="24"/>
        <v>8.3333333333333332E-3</v>
      </c>
      <c r="E604" s="5">
        <f t="shared" si="25"/>
        <v>6.6666666666666666E-2</v>
      </c>
      <c r="F604" s="5">
        <v>12.5</v>
      </c>
      <c r="G604" s="5">
        <v>0</v>
      </c>
      <c r="H604" s="5">
        <v>-2</v>
      </c>
      <c r="I604" s="5">
        <v>1.2</v>
      </c>
      <c r="J604" s="5">
        <v>0.5</v>
      </c>
      <c r="M604" s="5">
        <v>2</v>
      </c>
      <c r="N604" s="5">
        <v>1</v>
      </c>
      <c r="P604" s="5" t="s">
        <v>219</v>
      </c>
    </row>
    <row r="605" spans="1:16" s="5" customFormat="1" x14ac:dyDescent="0.25">
      <c r="A605" s="6">
        <v>45019</v>
      </c>
      <c r="B605" s="5">
        <v>75</v>
      </c>
      <c r="C605" s="5">
        <v>24</v>
      </c>
      <c r="D605" s="5">
        <f t="shared" si="24"/>
        <v>8.3333333333333332E-3</v>
      </c>
      <c r="E605" s="5">
        <f t="shared" si="25"/>
        <v>6.6666666666666666E-2</v>
      </c>
      <c r="F605" s="5">
        <v>12.5</v>
      </c>
      <c r="G605" s="5">
        <v>0</v>
      </c>
      <c r="H605" s="5">
        <v>-2</v>
      </c>
      <c r="I605" s="5">
        <v>1.2</v>
      </c>
      <c r="J605" s="5">
        <v>0.5</v>
      </c>
      <c r="M605" s="5">
        <v>2</v>
      </c>
      <c r="N605" s="5">
        <v>1</v>
      </c>
      <c r="P605" s="5" t="s">
        <v>216</v>
      </c>
    </row>
    <row r="606" spans="1:16" s="5" customFormat="1" x14ac:dyDescent="0.25">
      <c r="A606" s="6">
        <v>45019</v>
      </c>
      <c r="B606" s="5">
        <v>75</v>
      </c>
      <c r="C606" s="5">
        <v>25</v>
      </c>
      <c r="D606" s="5">
        <f t="shared" si="24"/>
        <v>8.3333333333333332E-3</v>
      </c>
      <c r="E606" s="5">
        <f t="shared" si="25"/>
        <v>6.6666666666666666E-2</v>
      </c>
      <c r="F606" s="5">
        <v>12.5</v>
      </c>
      <c r="G606" s="5">
        <v>0</v>
      </c>
      <c r="H606" s="5">
        <v>-2</v>
      </c>
      <c r="I606" s="5">
        <v>1.2</v>
      </c>
      <c r="J606" s="5">
        <v>0.5</v>
      </c>
      <c r="M606" s="5">
        <v>2</v>
      </c>
      <c r="N606" s="5">
        <v>1</v>
      </c>
      <c r="P606" s="5" t="s">
        <v>220</v>
      </c>
    </row>
    <row r="607" spans="1:16" s="5" customFormat="1" x14ac:dyDescent="0.25">
      <c r="A607" s="6">
        <v>45019</v>
      </c>
      <c r="B607" s="5">
        <v>75</v>
      </c>
      <c r="C607" s="5">
        <v>26</v>
      </c>
      <c r="D607" s="5">
        <f t="shared" si="24"/>
        <v>8.3333333333333332E-3</v>
      </c>
      <c r="E607" s="5">
        <f t="shared" si="25"/>
        <v>6.6666666666666666E-2</v>
      </c>
      <c r="F607" s="5">
        <v>12.5</v>
      </c>
      <c r="G607" s="5">
        <v>0</v>
      </c>
      <c r="H607" s="5">
        <v>-2</v>
      </c>
      <c r="I607" s="5">
        <v>1.2</v>
      </c>
      <c r="J607" s="5">
        <v>0.5</v>
      </c>
      <c r="M607" s="5">
        <v>2</v>
      </c>
      <c r="N607" s="5">
        <v>1</v>
      </c>
      <c r="P607" s="5" t="s">
        <v>206</v>
      </c>
    </row>
    <row r="608" spans="1:16" s="5" customFormat="1" x14ac:dyDescent="0.25">
      <c r="A608" s="6">
        <v>45019</v>
      </c>
      <c r="B608" s="5">
        <v>75</v>
      </c>
      <c r="C608" s="5">
        <v>28</v>
      </c>
      <c r="D608" s="5">
        <f t="shared" si="24"/>
        <v>8.3333333333333332E-3</v>
      </c>
      <c r="E608" s="5">
        <f t="shared" si="25"/>
        <v>6.6666666666666666E-2</v>
      </c>
      <c r="F608" s="5">
        <v>12.5</v>
      </c>
      <c r="G608" s="5">
        <v>0</v>
      </c>
      <c r="H608" s="5">
        <v>-2</v>
      </c>
      <c r="I608" s="5">
        <v>1.2</v>
      </c>
      <c r="J608" s="5">
        <v>0.5</v>
      </c>
      <c r="M608" s="5">
        <v>2</v>
      </c>
      <c r="N608" s="5">
        <v>1</v>
      </c>
      <c r="P608" s="5" t="s">
        <v>196</v>
      </c>
    </row>
    <row r="609" spans="1:16" s="5" customFormat="1" x14ac:dyDescent="0.25">
      <c r="A609" s="6">
        <v>45019</v>
      </c>
      <c r="B609" s="5">
        <v>75</v>
      </c>
      <c r="C609" s="5">
        <v>29</v>
      </c>
      <c r="D609" s="5">
        <f t="shared" si="24"/>
        <v>8.3333333333333332E-3</v>
      </c>
      <c r="E609" s="5">
        <f t="shared" si="25"/>
        <v>6.6666666666666666E-2</v>
      </c>
      <c r="F609" s="5">
        <v>12.5</v>
      </c>
      <c r="G609" s="5">
        <v>0</v>
      </c>
      <c r="H609" s="5">
        <v>-2</v>
      </c>
      <c r="I609" s="5">
        <v>1.2</v>
      </c>
      <c r="J609" s="5">
        <v>0.5</v>
      </c>
      <c r="M609" s="5">
        <v>2</v>
      </c>
      <c r="N609" s="5">
        <v>1</v>
      </c>
      <c r="P609" s="5" t="s">
        <v>208</v>
      </c>
    </row>
    <row r="610" spans="1:16" s="5" customFormat="1" x14ac:dyDescent="0.25">
      <c r="A610" s="6">
        <v>45019</v>
      </c>
      <c r="B610" s="5">
        <v>75</v>
      </c>
      <c r="C610" s="5">
        <v>31</v>
      </c>
      <c r="D610" s="5">
        <f t="shared" si="24"/>
        <v>8.3333333333333332E-3</v>
      </c>
      <c r="E610" s="5">
        <f t="shared" si="25"/>
        <v>6.6666666666666666E-2</v>
      </c>
      <c r="F610" s="5">
        <v>12.5</v>
      </c>
      <c r="G610" s="5">
        <v>0</v>
      </c>
      <c r="H610" s="5">
        <v>-2</v>
      </c>
      <c r="I610" s="5">
        <v>1.2</v>
      </c>
      <c r="J610" s="5">
        <v>0.5</v>
      </c>
      <c r="M610" s="5">
        <v>2</v>
      </c>
      <c r="N610" s="5">
        <v>1</v>
      </c>
      <c r="P610" s="5" t="s">
        <v>209</v>
      </c>
    </row>
    <row r="611" spans="1:16" s="5" customFormat="1" x14ac:dyDescent="0.25">
      <c r="A611" s="6">
        <v>45019</v>
      </c>
      <c r="B611" s="5">
        <v>75</v>
      </c>
      <c r="C611" s="5">
        <v>33</v>
      </c>
      <c r="D611" s="5">
        <f t="shared" si="24"/>
        <v>8.3333333333333332E-3</v>
      </c>
      <c r="E611" s="5">
        <f t="shared" si="25"/>
        <v>6.6666666666666666E-2</v>
      </c>
      <c r="F611" s="5">
        <v>12.5</v>
      </c>
      <c r="G611" s="5">
        <v>0</v>
      </c>
      <c r="H611" s="5">
        <v>-2</v>
      </c>
      <c r="I611" s="5">
        <v>1.2</v>
      </c>
      <c r="J611" s="5">
        <v>0.5</v>
      </c>
      <c r="M611" s="5">
        <v>2</v>
      </c>
      <c r="N611" s="5">
        <v>1</v>
      </c>
      <c r="P611" s="5" t="s">
        <v>189</v>
      </c>
    </row>
    <row r="612" spans="1:16" s="5" customFormat="1" x14ac:dyDescent="0.25">
      <c r="A612" s="6">
        <v>45019</v>
      </c>
      <c r="B612" s="5">
        <v>75</v>
      </c>
      <c r="C612" s="5">
        <v>35</v>
      </c>
      <c r="D612" s="5">
        <f t="shared" si="24"/>
        <v>8.3333333333333332E-3</v>
      </c>
      <c r="E612" s="5">
        <f t="shared" si="25"/>
        <v>6.6666666666666666E-2</v>
      </c>
      <c r="F612" s="5">
        <v>12.5</v>
      </c>
      <c r="G612" s="5">
        <v>0</v>
      </c>
      <c r="H612" s="5">
        <v>-2</v>
      </c>
      <c r="I612" s="5">
        <v>1.2</v>
      </c>
      <c r="J612" s="5">
        <v>0.5</v>
      </c>
      <c r="M612" s="5">
        <v>2</v>
      </c>
      <c r="N612" s="5">
        <v>1</v>
      </c>
      <c r="P612" s="5" t="s">
        <v>190</v>
      </c>
    </row>
    <row r="613" spans="1:16" s="5" customFormat="1" x14ac:dyDescent="0.25">
      <c r="A613" s="6">
        <v>45019</v>
      </c>
      <c r="B613" s="5">
        <v>75</v>
      </c>
      <c r="C613" s="5">
        <v>36</v>
      </c>
      <c r="D613" s="5">
        <f t="shared" si="24"/>
        <v>8.3333333333333332E-3</v>
      </c>
      <c r="E613" s="5">
        <f t="shared" si="25"/>
        <v>6.6666666666666666E-2</v>
      </c>
      <c r="F613" s="5">
        <v>12.5</v>
      </c>
      <c r="G613" s="5">
        <v>0</v>
      </c>
      <c r="H613" s="5">
        <v>-2</v>
      </c>
      <c r="I613" s="5">
        <v>1.2</v>
      </c>
      <c r="J613" s="5">
        <v>0.5</v>
      </c>
      <c r="M613" s="5">
        <v>2</v>
      </c>
      <c r="N613" s="5">
        <v>1</v>
      </c>
      <c r="P613" s="5" t="s">
        <v>191</v>
      </c>
    </row>
    <row r="614" spans="1:16" s="5" customFormat="1" x14ac:dyDescent="0.25">
      <c r="A614" s="6">
        <v>45020</v>
      </c>
      <c r="B614" s="5">
        <v>76</v>
      </c>
      <c r="C614" s="5">
        <v>2</v>
      </c>
      <c r="D614" s="5">
        <f t="shared" si="24"/>
        <v>8.3333333333333332E-3</v>
      </c>
      <c r="E614" s="5">
        <f t="shared" si="25"/>
        <v>6.6666666666666666E-2</v>
      </c>
      <c r="F614" s="5">
        <v>12.5</v>
      </c>
      <c r="G614" s="5">
        <v>0</v>
      </c>
      <c r="H614" s="5">
        <v>-2</v>
      </c>
      <c r="I614" s="5">
        <v>1.2</v>
      </c>
      <c r="J614" s="5">
        <v>0.5</v>
      </c>
      <c r="M614" s="5">
        <v>2</v>
      </c>
      <c r="N614" s="5">
        <v>1</v>
      </c>
      <c r="P614" s="5" t="s">
        <v>307</v>
      </c>
    </row>
    <row r="615" spans="1:16" s="5" customFormat="1" x14ac:dyDescent="0.25">
      <c r="A615" s="6">
        <v>45020</v>
      </c>
      <c r="B615" s="5">
        <v>76</v>
      </c>
      <c r="C615" s="5">
        <v>4</v>
      </c>
      <c r="D615" s="5">
        <f t="shared" si="24"/>
        <v>8.3333333333333332E-3</v>
      </c>
      <c r="E615" s="5">
        <f t="shared" si="25"/>
        <v>6.6666666666666666E-2</v>
      </c>
      <c r="F615" s="5">
        <v>12.5</v>
      </c>
      <c r="G615" s="5">
        <v>0</v>
      </c>
      <c r="H615" s="5">
        <v>-2</v>
      </c>
      <c r="I615" s="5">
        <v>1.2</v>
      </c>
      <c r="J615" s="5">
        <v>0.5</v>
      </c>
      <c r="M615" s="5">
        <v>2</v>
      </c>
      <c r="N615" s="5">
        <v>1</v>
      </c>
      <c r="P615" s="5" t="s">
        <v>216</v>
      </c>
    </row>
    <row r="616" spans="1:16" s="5" customFormat="1" x14ac:dyDescent="0.25">
      <c r="A616" s="6">
        <v>45020</v>
      </c>
      <c r="B616" s="5">
        <v>76</v>
      </c>
      <c r="C616" s="5">
        <v>5</v>
      </c>
      <c r="D616" s="5">
        <f t="shared" si="24"/>
        <v>8.3333333333333332E-3</v>
      </c>
      <c r="E616" s="5">
        <f t="shared" si="25"/>
        <v>6.6666666666666666E-2</v>
      </c>
      <c r="F616" s="5">
        <v>12.5</v>
      </c>
      <c r="G616" s="5">
        <v>0</v>
      </c>
      <c r="H616" s="5">
        <v>-2</v>
      </c>
      <c r="I616" s="5">
        <v>1.2</v>
      </c>
      <c r="J616" s="5">
        <v>0.5</v>
      </c>
      <c r="M616" s="5">
        <v>2</v>
      </c>
      <c r="N616" s="5">
        <v>1</v>
      </c>
      <c r="P616" s="5" t="s">
        <v>220</v>
      </c>
    </row>
    <row r="617" spans="1:16" s="5" customFormat="1" x14ac:dyDescent="0.25">
      <c r="A617" s="6">
        <v>45020</v>
      </c>
      <c r="B617" s="5">
        <v>76</v>
      </c>
      <c r="C617" s="5">
        <v>6</v>
      </c>
      <c r="D617" s="5">
        <f t="shared" si="24"/>
        <v>8.3333333333333332E-3</v>
      </c>
      <c r="E617" s="5">
        <f t="shared" si="25"/>
        <v>6.6666666666666666E-2</v>
      </c>
      <c r="F617" s="5">
        <v>12.5</v>
      </c>
      <c r="G617" s="5">
        <v>0</v>
      </c>
      <c r="H617" s="5">
        <v>-2</v>
      </c>
      <c r="I617" s="5">
        <v>1.2</v>
      </c>
      <c r="J617" s="5">
        <v>0.5</v>
      </c>
      <c r="M617" s="5">
        <v>2</v>
      </c>
      <c r="N617" s="5">
        <v>1</v>
      </c>
      <c r="P617" s="5" t="s">
        <v>206</v>
      </c>
    </row>
    <row r="618" spans="1:16" s="5" customFormat="1" x14ac:dyDescent="0.25">
      <c r="A618" s="6">
        <v>45020</v>
      </c>
      <c r="B618" s="5">
        <v>76</v>
      </c>
      <c r="C618" s="5">
        <v>8</v>
      </c>
      <c r="D618" s="5">
        <f t="shared" si="24"/>
        <v>8.3333333333333332E-3</v>
      </c>
      <c r="E618" s="5">
        <f t="shared" si="25"/>
        <v>6.6666666666666666E-2</v>
      </c>
      <c r="F618" s="5">
        <v>12.5</v>
      </c>
      <c r="G618" s="5">
        <v>0</v>
      </c>
      <c r="H618" s="5">
        <v>-3</v>
      </c>
      <c r="I618" s="5">
        <v>1.2</v>
      </c>
      <c r="J618" s="5">
        <v>0.5</v>
      </c>
      <c r="M618" s="5">
        <v>2</v>
      </c>
      <c r="N618" s="5">
        <v>1</v>
      </c>
      <c r="P618" s="5" t="s">
        <v>196</v>
      </c>
    </row>
    <row r="619" spans="1:16" s="5" customFormat="1" x14ac:dyDescent="0.25">
      <c r="A619" s="6">
        <v>45020</v>
      </c>
      <c r="B619" s="5">
        <v>76</v>
      </c>
      <c r="C619" s="5">
        <v>9</v>
      </c>
      <c r="D619" s="5">
        <f t="shared" si="24"/>
        <v>8.3333333333333332E-3</v>
      </c>
      <c r="E619" s="5">
        <f t="shared" si="25"/>
        <v>6.6666666666666666E-2</v>
      </c>
      <c r="F619" s="5">
        <v>12.5</v>
      </c>
      <c r="G619" s="5">
        <v>0</v>
      </c>
      <c r="H619" s="5">
        <v>-3</v>
      </c>
      <c r="I619" s="5">
        <v>1.2</v>
      </c>
      <c r="J619" s="5">
        <v>0.5</v>
      </c>
      <c r="M619" s="5">
        <v>2</v>
      </c>
      <c r="N619" s="5">
        <v>1</v>
      </c>
      <c r="P619" s="5" t="s">
        <v>208</v>
      </c>
    </row>
    <row r="620" spans="1:16" s="5" customFormat="1" x14ac:dyDescent="0.25">
      <c r="A620" s="6">
        <v>45020</v>
      </c>
      <c r="B620" s="5">
        <v>76</v>
      </c>
      <c r="C620" s="5">
        <v>10</v>
      </c>
      <c r="D620" s="5">
        <f t="shared" si="24"/>
        <v>8.3333333333333332E-3</v>
      </c>
      <c r="E620" s="5">
        <f t="shared" si="25"/>
        <v>6.6666666666666666E-2</v>
      </c>
      <c r="F620" s="5">
        <v>12.5</v>
      </c>
      <c r="G620" s="5">
        <v>0</v>
      </c>
      <c r="H620" s="5">
        <v>-2</v>
      </c>
      <c r="I620" s="5">
        <v>1.2</v>
      </c>
      <c r="J620" s="5">
        <v>0.5</v>
      </c>
      <c r="M620" s="5">
        <v>2</v>
      </c>
      <c r="N620" s="5">
        <v>1</v>
      </c>
      <c r="P620" s="5" t="s">
        <v>233</v>
      </c>
    </row>
    <row r="621" spans="1:16" s="5" customFormat="1" x14ac:dyDescent="0.25">
      <c r="A621" s="6">
        <v>45020</v>
      </c>
      <c r="B621" s="5">
        <v>76</v>
      </c>
      <c r="C621" s="5">
        <v>12</v>
      </c>
      <c r="D621" s="5">
        <f t="shared" si="24"/>
        <v>8.3333333333333332E-3</v>
      </c>
      <c r="E621" s="5">
        <f t="shared" si="25"/>
        <v>6.6666666666666666E-2</v>
      </c>
      <c r="F621" s="5">
        <v>12.5</v>
      </c>
      <c r="G621" s="5">
        <v>0</v>
      </c>
      <c r="H621" s="5">
        <v>-2</v>
      </c>
      <c r="I621" s="5">
        <v>1.2</v>
      </c>
      <c r="J621" s="5">
        <v>0.5</v>
      </c>
      <c r="M621" s="5">
        <v>2</v>
      </c>
      <c r="N621" s="5">
        <v>1</v>
      </c>
      <c r="P621" s="5" t="s">
        <v>190</v>
      </c>
    </row>
    <row r="622" spans="1:16" s="5" customFormat="1" x14ac:dyDescent="0.25">
      <c r="A622" s="6">
        <v>45020</v>
      </c>
      <c r="B622" s="5">
        <v>76</v>
      </c>
      <c r="C622" s="5">
        <v>13</v>
      </c>
      <c r="D622" s="5">
        <f t="shared" si="24"/>
        <v>8.3333333333333332E-3</v>
      </c>
      <c r="E622" s="5">
        <f t="shared" si="25"/>
        <v>6.6666666666666666E-2</v>
      </c>
      <c r="F622" s="5">
        <v>12.5</v>
      </c>
      <c r="G622" s="5">
        <v>0</v>
      </c>
      <c r="H622" s="5">
        <v>-2</v>
      </c>
      <c r="I622" s="5">
        <v>1.2</v>
      </c>
      <c r="J622" s="5">
        <v>0.5</v>
      </c>
      <c r="M622" s="5">
        <v>2</v>
      </c>
      <c r="N622" s="5">
        <v>1</v>
      </c>
      <c r="P622" s="5" t="s">
        <v>191</v>
      </c>
    </row>
    <row r="623" spans="1:16" s="5" customFormat="1" x14ac:dyDescent="0.25">
      <c r="A623" s="6">
        <v>45020</v>
      </c>
      <c r="B623" s="5">
        <v>77</v>
      </c>
      <c r="C623" s="5">
        <v>15</v>
      </c>
      <c r="D623" s="5">
        <f t="shared" si="24"/>
        <v>8.3333333333333332E-3</v>
      </c>
      <c r="E623" s="5">
        <f t="shared" si="25"/>
        <v>6.6666666666666666E-2</v>
      </c>
      <c r="F623" s="5">
        <v>12.5</v>
      </c>
      <c r="G623" s="5">
        <v>0</v>
      </c>
      <c r="H623" s="5">
        <v>-2</v>
      </c>
      <c r="I623" s="5">
        <v>1.2</v>
      </c>
      <c r="J623" s="5">
        <v>0.5</v>
      </c>
      <c r="M623" s="5">
        <v>2</v>
      </c>
      <c r="N623" s="5">
        <v>1</v>
      </c>
      <c r="P623" s="5" t="s">
        <v>186</v>
      </c>
    </row>
    <row r="624" spans="1:16" s="5" customFormat="1" x14ac:dyDescent="0.25">
      <c r="A624" s="6">
        <v>45020</v>
      </c>
      <c r="B624" s="5">
        <v>77</v>
      </c>
      <c r="C624" s="5">
        <v>16</v>
      </c>
      <c r="D624" s="5">
        <f t="shared" si="24"/>
        <v>8.3333333333333332E-3</v>
      </c>
      <c r="E624" s="5">
        <f t="shared" si="25"/>
        <v>6.6666666666666666E-2</v>
      </c>
      <c r="F624" s="5">
        <v>12.5</v>
      </c>
      <c r="G624" s="5">
        <v>0</v>
      </c>
      <c r="H624" s="5">
        <v>-2</v>
      </c>
      <c r="I624" s="5">
        <v>1.2</v>
      </c>
      <c r="J624" s="5">
        <v>0.5</v>
      </c>
      <c r="M624" s="5">
        <v>2</v>
      </c>
      <c r="N624" s="5">
        <v>1</v>
      </c>
      <c r="P624" s="5" t="s">
        <v>309</v>
      </c>
    </row>
    <row r="625" spans="1:16" s="5" customFormat="1" x14ac:dyDescent="0.25">
      <c r="A625" s="6">
        <v>45020</v>
      </c>
      <c r="B625" s="5">
        <v>77</v>
      </c>
      <c r="C625" s="5">
        <v>18</v>
      </c>
      <c r="D625" s="5">
        <f t="shared" si="24"/>
        <v>8.3333333333333332E-3</v>
      </c>
      <c r="E625" s="5">
        <f t="shared" si="25"/>
        <v>6.6666666666666666E-2</v>
      </c>
      <c r="F625" s="5">
        <v>12.5</v>
      </c>
      <c r="G625" s="5">
        <v>0</v>
      </c>
      <c r="H625" s="5">
        <v>-2</v>
      </c>
      <c r="I625" s="5">
        <v>1.2</v>
      </c>
      <c r="J625" s="5">
        <v>0.5</v>
      </c>
      <c r="M625" s="5">
        <v>2</v>
      </c>
      <c r="N625" s="5">
        <v>1</v>
      </c>
      <c r="P625" s="5" t="s">
        <v>216</v>
      </c>
    </row>
    <row r="626" spans="1:16" s="5" customFormat="1" x14ac:dyDescent="0.25">
      <c r="A626" s="6">
        <v>45020</v>
      </c>
      <c r="B626" s="5">
        <v>77</v>
      </c>
      <c r="C626" s="5">
        <v>19</v>
      </c>
      <c r="D626" s="5">
        <f t="shared" si="24"/>
        <v>8.3333333333333332E-3</v>
      </c>
      <c r="E626" s="5">
        <f t="shared" si="25"/>
        <v>6.6666666666666666E-2</v>
      </c>
      <c r="F626" s="5">
        <v>12.5</v>
      </c>
      <c r="G626" s="5">
        <v>0</v>
      </c>
      <c r="H626" s="5">
        <v>-2</v>
      </c>
      <c r="I626" s="5">
        <v>1.2</v>
      </c>
      <c r="J626" s="5">
        <v>0.5</v>
      </c>
      <c r="M626" s="5">
        <v>2</v>
      </c>
      <c r="N626" s="5">
        <v>1</v>
      </c>
      <c r="P626" s="5" t="s">
        <v>221</v>
      </c>
    </row>
    <row r="627" spans="1:16" s="5" customFormat="1" x14ac:dyDescent="0.25">
      <c r="A627" s="6">
        <v>45020</v>
      </c>
      <c r="B627" s="5">
        <v>77</v>
      </c>
      <c r="C627" s="5">
        <v>20</v>
      </c>
      <c r="D627" s="5">
        <f t="shared" si="24"/>
        <v>8.3333333333333332E-3</v>
      </c>
      <c r="E627" s="5">
        <f t="shared" si="25"/>
        <v>6.6666666666666666E-2</v>
      </c>
      <c r="F627" s="5">
        <v>12.5</v>
      </c>
      <c r="G627" s="5">
        <v>0</v>
      </c>
      <c r="H627" s="5">
        <v>-2</v>
      </c>
      <c r="I627" s="5">
        <v>1.2</v>
      </c>
      <c r="J627" s="5">
        <v>0.5</v>
      </c>
      <c r="M627" s="5">
        <v>2</v>
      </c>
      <c r="N627" s="5">
        <v>1</v>
      </c>
      <c r="P627" s="5" t="s">
        <v>206</v>
      </c>
    </row>
    <row r="628" spans="1:16" s="5" customFormat="1" x14ac:dyDescent="0.25">
      <c r="A628" s="6">
        <v>45020</v>
      </c>
      <c r="B628" s="5">
        <v>77</v>
      </c>
      <c r="C628" s="5">
        <v>23</v>
      </c>
      <c r="D628" s="5">
        <f t="shared" si="24"/>
        <v>8.3333333333333332E-3</v>
      </c>
      <c r="E628" s="5">
        <f t="shared" si="25"/>
        <v>6.6666666666666666E-2</v>
      </c>
      <c r="F628" s="5">
        <v>12.5</v>
      </c>
      <c r="G628" s="5">
        <v>0</v>
      </c>
      <c r="H628" s="5">
        <v>-2</v>
      </c>
      <c r="I628" s="5">
        <v>1.2</v>
      </c>
      <c r="J628" s="5">
        <v>0.5</v>
      </c>
      <c r="M628" s="5">
        <v>2</v>
      </c>
      <c r="N628" s="5">
        <v>1</v>
      </c>
      <c r="P628" s="5" t="s">
        <v>196</v>
      </c>
    </row>
    <row r="629" spans="1:16" s="5" customFormat="1" x14ac:dyDescent="0.25">
      <c r="A629" s="6">
        <v>45020</v>
      </c>
      <c r="B629" s="5">
        <v>77</v>
      </c>
      <c r="C629" s="5">
        <v>24</v>
      </c>
      <c r="D629" s="5">
        <f t="shared" si="24"/>
        <v>8.3333333333333332E-3</v>
      </c>
      <c r="E629" s="5">
        <f t="shared" si="25"/>
        <v>6.6666666666666666E-2</v>
      </c>
      <c r="F629" s="5">
        <v>12.5</v>
      </c>
      <c r="G629" s="5">
        <v>0</v>
      </c>
      <c r="H629" s="5">
        <v>-2</v>
      </c>
      <c r="I629" s="5">
        <v>1.2</v>
      </c>
      <c r="J629" s="5">
        <v>0.5</v>
      </c>
      <c r="M629" s="5">
        <v>2</v>
      </c>
      <c r="N629" s="5">
        <v>1</v>
      </c>
      <c r="P629" s="5" t="s">
        <v>207</v>
      </c>
    </row>
    <row r="630" spans="1:16" s="5" customFormat="1" x14ac:dyDescent="0.25">
      <c r="A630" s="6">
        <v>45020</v>
      </c>
      <c r="B630" s="5">
        <v>77</v>
      </c>
      <c r="C630" s="5">
        <v>25</v>
      </c>
      <c r="D630" s="5">
        <f t="shared" si="24"/>
        <v>8.3333333333333332E-3</v>
      </c>
      <c r="E630" s="5">
        <f t="shared" si="25"/>
        <v>6.6666666666666666E-2</v>
      </c>
      <c r="F630" s="5">
        <v>12.5</v>
      </c>
      <c r="G630" s="5">
        <v>0</v>
      </c>
      <c r="H630" s="5">
        <v>-2</v>
      </c>
      <c r="I630" s="5">
        <v>1.2</v>
      </c>
      <c r="J630" s="5">
        <v>0.5</v>
      </c>
      <c r="M630" s="5">
        <v>2</v>
      </c>
      <c r="N630" s="5">
        <v>1</v>
      </c>
      <c r="P630" s="5" t="s">
        <v>210</v>
      </c>
    </row>
    <row r="631" spans="1:16" s="5" customFormat="1" x14ac:dyDescent="0.25">
      <c r="A631" s="6">
        <v>45020</v>
      </c>
      <c r="B631" s="5">
        <v>77</v>
      </c>
      <c r="C631" s="5">
        <v>27</v>
      </c>
      <c r="D631" s="5">
        <f t="shared" si="24"/>
        <v>8.3333333333333332E-3</v>
      </c>
      <c r="E631" s="5">
        <f t="shared" si="25"/>
        <v>6.6666666666666666E-2</v>
      </c>
      <c r="F631" s="5">
        <v>12.5</v>
      </c>
      <c r="G631" s="5">
        <v>1</v>
      </c>
      <c r="H631" s="5">
        <v>-2</v>
      </c>
      <c r="I631" s="5">
        <v>1.2</v>
      </c>
      <c r="J631" s="5">
        <v>0.5</v>
      </c>
      <c r="M631" s="5">
        <v>2</v>
      </c>
      <c r="N631" s="5">
        <v>1</v>
      </c>
      <c r="P631" s="5" t="s">
        <v>335</v>
      </c>
    </row>
    <row r="632" spans="1:16" s="5" customFormat="1" x14ac:dyDescent="0.25">
      <c r="A632" s="6">
        <v>45020</v>
      </c>
      <c r="B632" s="5">
        <v>77</v>
      </c>
      <c r="C632" s="5">
        <v>29</v>
      </c>
      <c r="D632" s="5">
        <f t="shared" si="24"/>
        <v>8.3333333333333332E-3</v>
      </c>
      <c r="E632" s="5">
        <f t="shared" si="25"/>
        <v>6.6666666666666666E-2</v>
      </c>
      <c r="F632" s="5">
        <v>12.5</v>
      </c>
      <c r="G632" s="5">
        <v>0</v>
      </c>
      <c r="H632" s="5">
        <v>-2</v>
      </c>
      <c r="I632" s="5">
        <v>1.2</v>
      </c>
      <c r="J632" s="5">
        <v>0.5</v>
      </c>
      <c r="M632" s="5">
        <v>2</v>
      </c>
      <c r="N632" s="5">
        <v>1</v>
      </c>
      <c r="P632" s="5" t="s">
        <v>192</v>
      </c>
    </row>
    <row r="633" spans="1:16" s="5" customFormat="1" x14ac:dyDescent="0.25">
      <c r="A633" s="6">
        <v>45020</v>
      </c>
      <c r="B633" s="5">
        <v>77</v>
      </c>
      <c r="C633" s="5">
        <v>31</v>
      </c>
      <c r="D633" s="5">
        <f t="shared" si="24"/>
        <v>8.3333333333333332E-3</v>
      </c>
      <c r="E633" s="5">
        <f t="shared" si="25"/>
        <v>6.6666666666666666E-2</v>
      </c>
      <c r="F633" s="5">
        <v>12.5</v>
      </c>
      <c r="G633" s="5">
        <v>0</v>
      </c>
      <c r="H633" s="5">
        <v>-2</v>
      </c>
      <c r="I633" s="5">
        <v>1.2</v>
      </c>
      <c r="J633" s="5">
        <v>0.5</v>
      </c>
      <c r="M633" s="5">
        <v>2</v>
      </c>
      <c r="N633" s="5">
        <v>1</v>
      </c>
      <c r="P633" s="5" t="s">
        <v>197</v>
      </c>
    </row>
    <row r="634" spans="1:16" s="5" customFormat="1" x14ac:dyDescent="0.25">
      <c r="A634" s="6">
        <v>45020</v>
      </c>
      <c r="B634" s="5">
        <v>77</v>
      </c>
      <c r="C634" s="5">
        <v>32</v>
      </c>
      <c r="D634" s="5">
        <f t="shared" si="24"/>
        <v>8.3333333333333332E-3</v>
      </c>
      <c r="E634" s="5">
        <f t="shared" si="25"/>
        <v>6.6666666666666666E-2</v>
      </c>
      <c r="F634" s="5">
        <v>12.5</v>
      </c>
      <c r="G634" s="5">
        <v>0</v>
      </c>
      <c r="H634" s="5">
        <v>-2</v>
      </c>
      <c r="I634" s="5">
        <v>1.2</v>
      </c>
      <c r="J634" s="5">
        <v>0.5</v>
      </c>
      <c r="M634" s="5">
        <v>2</v>
      </c>
      <c r="N634" s="5">
        <v>1</v>
      </c>
      <c r="P634" s="5" t="s">
        <v>198</v>
      </c>
    </row>
    <row r="635" spans="1:16" s="5" customFormat="1" x14ac:dyDescent="0.25">
      <c r="A635" s="6">
        <v>45020</v>
      </c>
      <c r="B635" s="5">
        <v>77</v>
      </c>
      <c r="C635" s="5">
        <v>33</v>
      </c>
      <c r="D635" s="5">
        <f t="shared" si="24"/>
        <v>8.3333333333333332E-3</v>
      </c>
      <c r="E635" s="5">
        <f t="shared" si="25"/>
        <v>6.6666666666666666E-2</v>
      </c>
      <c r="F635" s="5">
        <v>12.5</v>
      </c>
      <c r="G635" s="5">
        <v>0</v>
      </c>
      <c r="H635" s="5">
        <v>-2</v>
      </c>
      <c r="I635" s="5">
        <v>1.2</v>
      </c>
      <c r="J635" s="5">
        <v>0.5</v>
      </c>
      <c r="M635" s="5">
        <v>2</v>
      </c>
      <c r="N635" s="5">
        <v>1</v>
      </c>
      <c r="P635" s="5" t="s">
        <v>211</v>
      </c>
    </row>
    <row r="636" spans="1:16" s="5" customFormat="1" x14ac:dyDescent="0.25">
      <c r="A636" s="6">
        <v>45020</v>
      </c>
      <c r="B636" s="5">
        <v>77</v>
      </c>
      <c r="C636" s="5">
        <v>35</v>
      </c>
      <c r="D636" s="5">
        <f t="shared" si="24"/>
        <v>8.3333333333333332E-3</v>
      </c>
      <c r="E636" s="5">
        <f t="shared" si="25"/>
        <v>6.6666666666666666E-2</v>
      </c>
      <c r="F636" s="5">
        <v>12.5</v>
      </c>
      <c r="G636" s="5">
        <v>0</v>
      </c>
      <c r="H636" s="5">
        <v>-2</v>
      </c>
      <c r="I636" s="5">
        <v>1.2</v>
      </c>
      <c r="J636" s="5">
        <v>0.5</v>
      </c>
      <c r="M636" s="5">
        <v>2</v>
      </c>
      <c r="N636" s="5">
        <v>1</v>
      </c>
      <c r="P636" s="5" t="s">
        <v>212</v>
      </c>
    </row>
    <row r="637" spans="1:16" s="5" customFormat="1" x14ac:dyDescent="0.25">
      <c r="A637" s="6">
        <v>45020</v>
      </c>
      <c r="B637" s="5">
        <v>77</v>
      </c>
      <c r="C637" s="5">
        <v>36</v>
      </c>
      <c r="D637" s="5">
        <f t="shared" si="24"/>
        <v>8.3333333333333332E-3</v>
      </c>
      <c r="E637" s="5">
        <f t="shared" si="25"/>
        <v>6.6666666666666666E-2</v>
      </c>
      <c r="F637" s="5">
        <v>12.5</v>
      </c>
      <c r="G637" s="5">
        <v>0</v>
      </c>
      <c r="H637" s="5">
        <v>-2</v>
      </c>
      <c r="I637" s="5">
        <v>1.2</v>
      </c>
      <c r="J637" s="5">
        <v>0.5</v>
      </c>
      <c r="M637" s="5">
        <v>2</v>
      </c>
      <c r="N637" s="5">
        <v>1</v>
      </c>
      <c r="P637" s="5" t="s">
        <v>213</v>
      </c>
    </row>
    <row r="638" spans="1:16" s="5" customFormat="1" x14ac:dyDescent="0.25">
      <c r="A638" s="6">
        <v>45022</v>
      </c>
      <c r="B638" s="5">
        <v>78</v>
      </c>
      <c r="C638" s="5">
        <v>2</v>
      </c>
      <c r="D638" s="5">
        <f t="shared" si="24"/>
        <v>8.3333333333333332E-3</v>
      </c>
      <c r="E638" s="5">
        <f t="shared" si="25"/>
        <v>6.6666666666666666E-2</v>
      </c>
      <c r="F638" s="5">
        <v>12.5</v>
      </c>
      <c r="G638" s="5">
        <v>0</v>
      </c>
      <c r="H638" s="5">
        <v>-2</v>
      </c>
      <c r="I638" s="5">
        <v>1.2</v>
      </c>
      <c r="J638" s="5">
        <v>0.5</v>
      </c>
      <c r="M638" s="5">
        <v>2</v>
      </c>
      <c r="N638" s="5">
        <v>1</v>
      </c>
      <c r="P638" s="5" t="s">
        <v>308</v>
      </c>
    </row>
    <row r="639" spans="1:16" s="5" customFormat="1" x14ac:dyDescent="0.25">
      <c r="A639" s="6">
        <v>45022</v>
      </c>
      <c r="B639" s="5">
        <v>78</v>
      </c>
      <c r="C639" s="5">
        <v>3</v>
      </c>
      <c r="D639" s="5">
        <f t="shared" si="24"/>
        <v>8.3333333333333332E-3</v>
      </c>
      <c r="E639" s="5">
        <f t="shared" si="25"/>
        <v>6.6666666666666666E-2</v>
      </c>
      <c r="F639" s="5">
        <v>12.5</v>
      </c>
      <c r="G639" s="5">
        <v>0</v>
      </c>
      <c r="H639" s="5">
        <v>-2</v>
      </c>
      <c r="I639" s="5">
        <v>1.2</v>
      </c>
      <c r="J639" s="5">
        <v>0.5</v>
      </c>
      <c r="M639" s="5">
        <v>2</v>
      </c>
      <c r="N639" s="5">
        <v>1</v>
      </c>
      <c r="P639" s="5" t="s">
        <v>242</v>
      </c>
    </row>
    <row r="640" spans="1:16" s="5" customFormat="1" x14ac:dyDescent="0.25">
      <c r="A640" s="6">
        <v>45022</v>
      </c>
      <c r="B640" s="5">
        <v>78</v>
      </c>
      <c r="C640" s="5">
        <v>5</v>
      </c>
      <c r="D640" s="5">
        <f t="shared" si="24"/>
        <v>8.3333333333333332E-3</v>
      </c>
      <c r="E640" s="5">
        <f t="shared" si="25"/>
        <v>6.6666666666666666E-2</v>
      </c>
      <c r="F640" s="5">
        <v>12.5</v>
      </c>
      <c r="G640" s="5">
        <v>0</v>
      </c>
      <c r="H640" s="5">
        <v>-2</v>
      </c>
      <c r="I640" s="5">
        <v>1.2</v>
      </c>
      <c r="J640" s="5">
        <v>0.5</v>
      </c>
      <c r="M640" s="5">
        <v>2</v>
      </c>
      <c r="N640" s="5">
        <v>1</v>
      </c>
      <c r="P640" s="5" t="s">
        <v>255</v>
      </c>
    </row>
    <row r="641" spans="1:16" s="5" customFormat="1" x14ac:dyDescent="0.25">
      <c r="A641" s="6">
        <v>45022</v>
      </c>
      <c r="B641" s="5">
        <v>78</v>
      </c>
      <c r="C641" s="5">
        <v>6</v>
      </c>
      <c r="D641" s="5">
        <f t="shared" si="24"/>
        <v>8.3333333333333332E-3</v>
      </c>
      <c r="E641" s="5">
        <f t="shared" si="25"/>
        <v>6.6666666666666666E-2</v>
      </c>
      <c r="F641" s="5">
        <v>12.5</v>
      </c>
      <c r="G641" s="5">
        <v>0</v>
      </c>
      <c r="H641" s="5">
        <v>-2</v>
      </c>
      <c r="I641" s="5">
        <v>1.2</v>
      </c>
      <c r="J641" s="5">
        <v>0.5</v>
      </c>
      <c r="M641" s="5">
        <v>2</v>
      </c>
      <c r="N641" s="5">
        <v>1</v>
      </c>
      <c r="P641" s="5" t="s">
        <v>243</v>
      </c>
    </row>
    <row r="642" spans="1:16" s="5" customFormat="1" x14ac:dyDescent="0.25">
      <c r="A642" s="6">
        <v>45022</v>
      </c>
      <c r="B642" s="5">
        <v>78</v>
      </c>
      <c r="C642" s="5">
        <v>7</v>
      </c>
      <c r="D642" s="5">
        <f t="shared" si="24"/>
        <v>8.3333333333333332E-3</v>
      </c>
      <c r="E642" s="5">
        <f t="shared" si="25"/>
        <v>6.6666666666666666E-2</v>
      </c>
      <c r="F642" s="5">
        <v>12.5</v>
      </c>
      <c r="G642" s="5">
        <v>0</v>
      </c>
      <c r="H642" s="5">
        <v>-2</v>
      </c>
      <c r="I642" s="5">
        <v>1.2</v>
      </c>
      <c r="J642" s="5">
        <v>0.5</v>
      </c>
      <c r="M642" s="5">
        <v>2</v>
      </c>
      <c r="N642" s="5">
        <v>1</v>
      </c>
      <c r="P642" s="5" t="s">
        <v>206</v>
      </c>
    </row>
    <row r="643" spans="1:16" s="5" customFormat="1" x14ac:dyDescent="0.25">
      <c r="A643" s="6">
        <v>45022</v>
      </c>
      <c r="B643" s="5">
        <v>78</v>
      </c>
      <c r="C643" s="5">
        <v>10</v>
      </c>
      <c r="D643" s="5">
        <f t="shared" si="24"/>
        <v>8.3333333333333332E-3</v>
      </c>
      <c r="E643" s="5">
        <f t="shared" si="25"/>
        <v>6.6666666666666666E-2</v>
      </c>
      <c r="F643" s="5">
        <v>12.5</v>
      </c>
      <c r="G643" s="5">
        <v>0</v>
      </c>
      <c r="H643" s="5">
        <v>-2</v>
      </c>
      <c r="I643" s="5">
        <v>1.2</v>
      </c>
      <c r="J643" s="5">
        <v>0.5</v>
      </c>
      <c r="M643" s="5">
        <v>2</v>
      </c>
      <c r="N643" s="5">
        <v>1</v>
      </c>
      <c r="P643" s="5" t="s">
        <v>196</v>
      </c>
    </row>
    <row r="644" spans="1:16" s="5" customFormat="1" x14ac:dyDescent="0.25">
      <c r="A644" s="6">
        <v>45022</v>
      </c>
      <c r="B644" s="5">
        <v>78</v>
      </c>
      <c r="C644" s="5">
        <v>11</v>
      </c>
      <c r="D644" s="5">
        <f t="shared" si="24"/>
        <v>8.3333333333333332E-3</v>
      </c>
      <c r="E644" s="5">
        <f t="shared" si="25"/>
        <v>6.6666666666666666E-2</v>
      </c>
      <c r="F644" s="5">
        <v>12.5</v>
      </c>
      <c r="G644" s="5">
        <v>0</v>
      </c>
      <c r="H644" s="5">
        <v>-2</v>
      </c>
      <c r="I644" s="5">
        <v>1.2</v>
      </c>
      <c r="J644" s="5">
        <v>0.5</v>
      </c>
      <c r="M644" s="5">
        <v>2</v>
      </c>
      <c r="N644" s="5">
        <v>1</v>
      </c>
      <c r="P644" s="5" t="s">
        <v>222</v>
      </c>
    </row>
    <row r="645" spans="1:16" s="5" customFormat="1" x14ac:dyDescent="0.25">
      <c r="A645" s="6">
        <v>45022</v>
      </c>
      <c r="B645" s="5">
        <v>78</v>
      </c>
      <c r="C645" s="5">
        <v>12</v>
      </c>
      <c r="D645" s="5">
        <f t="shared" si="24"/>
        <v>8.3333333333333332E-3</v>
      </c>
      <c r="E645" s="5">
        <f t="shared" si="25"/>
        <v>6.6666666666666666E-2</v>
      </c>
      <c r="F645" s="5">
        <v>12.5</v>
      </c>
      <c r="G645" s="5">
        <v>0</v>
      </c>
      <c r="H645" s="5">
        <v>-2</v>
      </c>
      <c r="I645" s="5">
        <v>1.2</v>
      </c>
      <c r="J645" s="5">
        <v>0.5</v>
      </c>
      <c r="M645" s="5">
        <v>2</v>
      </c>
      <c r="N645" s="5">
        <v>1</v>
      </c>
      <c r="P645" s="5" t="s">
        <v>233</v>
      </c>
    </row>
    <row r="646" spans="1:16" s="5" customFormat="1" x14ac:dyDescent="0.25">
      <c r="A646" s="6">
        <v>45022</v>
      </c>
      <c r="B646" s="5">
        <v>78</v>
      </c>
      <c r="C646" s="5">
        <v>14</v>
      </c>
      <c r="D646" s="5">
        <f t="shared" si="24"/>
        <v>8.3333333333333332E-3</v>
      </c>
      <c r="E646" s="5">
        <f t="shared" si="25"/>
        <v>6.6666666666666666E-2</v>
      </c>
      <c r="F646" s="5">
        <v>12.5</v>
      </c>
      <c r="G646" s="5">
        <v>0</v>
      </c>
      <c r="H646" s="5">
        <v>-2</v>
      </c>
      <c r="I646" s="5">
        <v>1.2</v>
      </c>
      <c r="J646" s="5">
        <v>0.5</v>
      </c>
      <c r="M646" s="5">
        <v>2</v>
      </c>
      <c r="N646" s="5">
        <v>1</v>
      </c>
      <c r="P646" s="5" t="s">
        <v>223</v>
      </c>
    </row>
    <row r="647" spans="1:16" s="5" customFormat="1" x14ac:dyDescent="0.25">
      <c r="A647" s="6">
        <v>45022</v>
      </c>
      <c r="B647" s="5">
        <v>78</v>
      </c>
      <c r="C647" s="5">
        <v>15</v>
      </c>
      <c r="D647" s="5">
        <f t="shared" si="24"/>
        <v>8.3333333333333332E-3</v>
      </c>
      <c r="E647" s="5">
        <f t="shared" si="25"/>
        <v>6.6666666666666666E-2</v>
      </c>
      <c r="F647" s="5">
        <v>12.5</v>
      </c>
      <c r="G647" s="5">
        <v>0</v>
      </c>
      <c r="H647" s="5">
        <v>-2</v>
      </c>
      <c r="I647" s="5">
        <v>1.2</v>
      </c>
      <c r="J647" s="5">
        <v>0.5</v>
      </c>
      <c r="M647" s="5">
        <v>2</v>
      </c>
      <c r="N647" s="5">
        <v>1</v>
      </c>
      <c r="P647" s="5" t="s">
        <v>228</v>
      </c>
    </row>
    <row r="648" spans="1:16" s="5" customFormat="1" x14ac:dyDescent="0.25">
      <c r="A648" s="6">
        <v>45022</v>
      </c>
      <c r="B648" s="5">
        <v>79</v>
      </c>
      <c r="C648" s="5">
        <v>17</v>
      </c>
      <c r="D648" s="5">
        <f t="shared" si="24"/>
        <v>8.3333333333333332E-3</v>
      </c>
      <c r="E648" s="5">
        <f t="shared" si="25"/>
        <v>6.6666666666666666E-2</v>
      </c>
      <c r="F648" s="5">
        <v>12.5</v>
      </c>
      <c r="G648" s="5">
        <v>0</v>
      </c>
      <c r="H648" s="5">
        <v>-2</v>
      </c>
      <c r="I648" s="5">
        <v>1.2</v>
      </c>
      <c r="J648" s="5">
        <v>0.5</v>
      </c>
      <c r="M648" s="5">
        <v>2</v>
      </c>
      <c r="N648" s="5">
        <v>1</v>
      </c>
      <c r="P648" s="5" t="s">
        <v>310</v>
      </c>
    </row>
    <row r="649" spans="1:16" s="5" customFormat="1" x14ac:dyDescent="0.25">
      <c r="A649" s="6">
        <v>45022</v>
      </c>
      <c r="B649" s="5">
        <v>79</v>
      </c>
      <c r="C649" s="5">
        <v>19</v>
      </c>
      <c r="D649" s="5">
        <f t="shared" si="24"/>
        <v>8.3333333333333332E-3</v>
      </c>
      <c r="E649" s="5">
        <f t="shared" si="25"/>
        <v>6.6666666666666666E-2</v>
      </c>
      <c r="F649" s="5">
        <v>12.5</v>
      </c>
      <c r="G649" s="5">
        <v>0</v>
      </c>
      <c r="H649" s="5">
        <v>-2</v>
      </c>
      <c r="I649" s="5">
        <v>1.2</v>
      </c>
      <c r="J649" s="5">
        <v>0.5</v>
      </c>
      <c r="M649" s="5">
        <v>2</v>
      </c>
      <c r="N649" s="5">
        <v>1</v>
      </c>
      <c r="P649" s="5" t="s">
        <v>255</v>
      </c>
    </row>
    <row r="650" spans="1:16" s="5" customFormat="1" x14ac:dyDescent="0.25">
      <c r="A650" s="6">
        <v>45022</v>
      </c>
      <c r="B650" s="5">
        <v>79</v>
      </c>
      <c r="C650" s="5">
        <v>20</v>
      </c>
      <c r="D650" s="5">
        <f t="shared" si="24"/>
        <v>8.3333333333333332E-3</v>
      </c>
      <c r="E650" s="5">
        <f t="shared" si="25"/>
        <v>6.6666666666666666E-2</v>
      </c>
      <c r="F650" s="5">
        <v>12.5</v>
      </c>
      <c r="G650" s="5">
        <v>0</v>
      </c>
      <c r="H650" s="5">
        <v>-2</v>
      </c>
      <c r="I650" s="5">
        <v>1.2</v>
      </c>
      <c r="J650" s="5">
        <v>0.5</v>
      </c>
      <c r="M650" s="5">
        <v>2</v>
      </c>
      <c r="N650" s="5">
        <v>1</v>
      </c>
      <c r="P650" s="5" t="s">
        <v>244</v>
      </c>
    </row>
    <row r="651" spans="1:16" s="5" customFormat="1" x14ac:dyDescent="0.25">
      <c r="A651" s="6">
        <v>45022</v>
      </c>
      <c r="B651" s="5">
        <v>79</v>
      </c>
      <c r="C651" s="5">
        <v>21</v>
      </c>
      <c r="D651" s="5">
        <f t="shared" si="24"/>
        <v>8.3333333333333332E-3</v>
      </c>
      <c r="E651" s="5">
        <f t="shared" si="25"/>
        <v>6.6666666666666666E-2</v>
      </c>
      <c r="F651" s="5">
        <v>12.5</v>
      </c>
      <c r="G651" s="5">
        <v>0</v>
      </c>
      <c r="H651" s="5">
        <v>-2</v>
      </c>
      <c r="I651" s="5">
        <v>1.2</v>
      </c>
      <c r="J651" s="5">
        <v>0.5</v>
      </c>
      <c r="M651" s="5">
        <v>2</v>
      </c>
      <c r="N651" s="5">
        <v>1</v>
      </c>
      <c r="P651" s="5" t="s">
        <v>224</v>
      </c>
    </row>
    <row r="652" spans="1:16" s="5" customFormat="1" x14ac:dyDescent="0.25">
      <c r="A652" s="6">
        <v>45022</v>
      </c>
      <c r="B652" s="5">
        <v>79</v>
      </c>
      <c r="C652" s="5">
        <v>23</v>
      </c>
      <c r="D652" s="5">
        <f t="shared" si="24"/>
        <v>8.3333333333333332E-3</v>
      </c>
      <c r="E652" s="5">
        <f t="shared" si="25"/>
        <v>6.6666666666666666E-2</v>
      </c>
      <c r="F652" s="5">
        <v>12.5</v>
      </c>
      <c r="G652" s="5">
        <v>0</v>
      </c>
      <c r="H652" s="5">
        <v>-3</v>
      </c>
      <c r="I652" s="5">
        <v>1.2</v>
      </c>
      <c r="J652" s="5">
        <v>0.5</v>
      </c>
      <c r="M652" s="5">
        <v>2</v>
      </c>
      <c r="N652" s="5">
        <v>1</v>
      </c>
      <c r="P652" s="5" t="s">
        <v>225</v>
      </c>
    </row>
    <row r="653" spans="1:16" s="5" customFormat="1" x14ac:dyDescent="0.25">
      <c r="A653" s="6">
        <v>45022</v>
      </c>
      <c r="B653" s="5">
        <v>79</v>
      </c>
      <c r="C653" s="5">
        <v>24</v>
      </c>
      <c r="D653" s="5">
        <f t="shared" si="24"/>
        <v>8.3333333333333332E-3</v>
      </c>
      <c r="E653" s="5">
        <f t="shared" si="25"/>
        <v>6.6666666666666666E-2</v>
      </c>
      <c r="F653" s="5">
        <v>12.5</v>
      </c>
      <c r="G653" s="5">
        <v>0</v>
      </c>
      <c r="H653" s="5">
        <v>-3</v>
      </c>
      <c r="I653" s="5">
        <v>1.2</v>
      </c>
      <c r="J653" s="5">
        <v>0.5</v>
      </c>
      <c r="M653" s="5">
        <v>2</v>
      </c>
      <c r="N653" s="5">
        <v>1</v>
      </c>
      <c r="P653" s="5" t="s">
        <v>226</v>
      </c>
    </row>
    <row r="654" spans="1:16" s="5" customFormat="1" x14ac:dyDescent="0.25">
      <c r="A654" s="6">
        <v>45022</v>
      </c>
      <c r="B654" s="5">
        <v>79</v>
      </c>
      <c r="C654" s="5">
        <v>25</v>
      </c>
      <c r="D654" s="5">
        <f t="shared" si="24"/>
        <v>8.3333333333333332E-3</v>
      </c>
      <c r="E654" s="5">
        <f t="shared" si="25"/>
        <v>6.6666666666666666E-2</v>
      </c>
      <c r="F654" s="5">
        <v>12.5</v>
      </c>
      <c r="G654" s="5">
        <v>0</v>
      </c>
      <c r="H654" s="5">
        <v>-3</v>
      </c>
      <c r="I654" s="5">
        <v>1.2</v>
      </c>
      <c r="J654" s="5">
        <v>0.5</v>
      </c>
      <c r="M654" s="5">
        <v>2</v>
      </c>
      <c r="N654" s="5">
        <v>1</v>
      </c>
      <c r="P654" s="5" t="s">
        <v>227</v>
      </c>
    </row>
    <row r="655" spans="1:16" s="5" customFormat="1" x14ac:dyDescent="0.25">
      <c r="A655" s="6">
        <v>45022</v>
      </c>
      <c r="B655" s="5">
        <v>79</v>
      </c>
      <c r="C655" s="5">
        <v>27</v>
      </c>
      <c r="D655" s="5">
        <f t="shared" si="24"/>
        <v>8.3333333333333332E-3</v>
      </c>
      <c r="E655" s="5">
        <f t="shared" si="25"/>
        <v>6.6666666666666666E-2</v>
      </c>
      <c r="F655" s="5">
        <v>12.5</v>
      </c>
      <c r="G655" s="5">
        <v>0</v>
      </c>
      <c r="H655" s="5">
        <v>-3</v>
      </c>
      <c r="I655" s="5">
        <v>1.2</v>
      </c>
      <c r="J655" s="5">
        <v>0.5</v>
      </c>
      <c r="M655" s="5">
        <v>2</v>
      </c>
      <c r="N655" s="5">
        <v>1</v>
      </c>
      <c r="P655" s="5" t="s">
        <v>223</v>
      </c>
    </row>
    <row r="656" spans="1:16" s="5" customFormat="1" x14ac:dyDescent="0.25">
      <c r="A656" s="6">
        <v>45022</v>
      </c>
      <c r="B656" s="5">
        <v>79</v>
      </c>
      <c r="C656" s="5">
        <v>29</v>
      </c>
      <c r="D656" s="5">
        <f t="shared" si="24"/>
        <v>8.3333333333333332E-3</v>
      </c>
      <c r="E656" s="5">
        <f t="shared" si="25"/>
        <v>6.6666666666666666E-2</v>
      </c>
      <c r="F656" s="5">
        <v>12.5</v>
      </c>
      <c r="G656" s="5">
        <v>0</v>
      </c>
      <c r="H656" s="5">
        <v>-2</v>
      </c>
      <c r="I656" s="5">
        <v>1.2</v>
      </c>
      <c r="J656" s="5">
        <v>0.5</v>
      </c>
      <c r="M656" s="5">
        <v>2</v>
      </c>
      <c r="N656" s="5">
        <v>1</v>
      </c>
      <c r="P656" s="5" t="s">
        <v>186</v>
      </c>
    </row>
    <row r="657" spans="1:16" s="5" customFormat="1" x14ac:dyDescent="0.25">
      <c r="A657" s="6">
        <v>45023</v>
      </c>
      <c r="B657" s="5">
        <v>80</v>
      </c>
      <c r="C657" s="5">
        <v>2</v>
      </c>
      <c r="D657" s="5">
        <f t="shared" si="24"/>
        <v>8.3333333333333332E-3</v>
      </c>
      <c r="E657" s="5">
        <f t="shared" si="25"/>
        <v>6.6666666666666666E-2</v>
      </c>
      <c r="F657" s="5">
        <v>12.5</v>
      </c>
      <c r="G657" s="5">
        <v>0</v>
      </c>
      <c r="H657" s="5">
        <v>-2</v>
      </c>
      <c r="I657" s="5">
        <v>1.2</v>
      </c>
      <c r="J657" s="5">
        <v>0.5</v>
      </c>
      <c r="M657" s="5">
        <v>2</v>
      </c>
      <c r="N657" s="5">
        <v>1</v>
      </c>
      <c r="P657" s="5" t="s">
        <v>310</v>
      </c>
    </row>
    <row r="658" spans="1:16" s="5" customFormat="1" x14ac:dyDescent="0.25">
      <c r="A658" s="6">
        <v>45023</v>
      </c>
      <c r="B658" s="5">
        <v>80</v>
      </c>
      <c r="C658" s="5">
        <v>4</v>
      </c>
      <c r="D658" s="5">
        <f t="shared" si="24"/>
        <v>8.3333333333333332E-3</v>
      </c>
      <c r="E658" s="5">
        <f t="shared" si="25"/>
        <v>6.6666666666666666E-2</v>
      </c>
      <c r="F658" s="5">
        <v>12.5</v>
      </c>
      <c r="G658" s="5">
        <v>0</v>
      </c>
      <c r="H658" s="5">
        <v>-2</v>
      </c>
      <c r="I658" s="5">
        <v>1.2</v>
      </c>
      <c r="J658" s="5">
        <v>0.5</v>
      </c>
      <c r="M658" s="5">
        <v>2</v>
      </c>
      <c r="N658" s="5">
        <v>1</v>
      </c>
      <c r="P658" s="5" t="s">
        <v>256</v>
      </c>
    </row>
    <row r="659" spans="1:16" s="5" customFormat="1" x14ac:dyDescent="0.25">
      <c r="A659" s="6">
        <v>45023</v>
      </c>
      <c r="B659" s="5">
        <v>80</v>
      </c>
      <c r="C659" s="5">
        <v>5</v>
      </c>
      <c r="D659" s="5">
        <f t="shared" si="24"/>
        <v>8.3333333333333332E-3</v>
      </c>
      <c r="E659" s="5">
        <f t="shared" si="25"/>
        <v>6.6666666666666666E-2</v>
      </c>
      <c r="F659" s="5">
        <v>12.5</v>
      </c>
      <c r="G659" s="5">
        <v>0</v>
      </c>
      <c r="H659" s="5">
        <v>-2</v>
      </c>
      <c r="I659" s="5">
        <v>1.2</v>
      </c>
      <c r="J659" s="5">
        <v>0.5</v>
      </c>
      <c r="M659" s="5">
        <v>2</v>
      </c>
      <c r="N659" s="5">
        <v>1</v>
      </c>
      <c r="P659" s="5" t="s">
        <v>245</v>
      </c>
    </row>
    <row r="660" spans="1:16" s="5" customFormat="1" x14ac:dyDescent="0.25">
      <c r="A660" s="6">
        <v>45023</v>
      </c>
      <c r="B660" s="5">
        <v>81</v>
      </c>
      <c r="C660" s="5">
        <v>7</v>
      </c>
      <c r="D660" s="5">
        <f t="shared" si="24"/>
        <v>8.3333333333333332E-3</v>
      </c>
      <c r="E660" s="5">
        <f t="shared" si="25"/>
        <v>6.6666666666666666E-2</v>
      </c>
      <c r="F660" s="5">
        <v>12.5</v>
      </c>
      <c r="G660" s="5">
        <v>0</v>
      </c>
      <c r="H660" s="5">
        <v>-2</v>
      </c>
      <c r="I660" s="5">
        <v>1.2</v>
      </c>
      <c r="J660" s="5">
        <v>0.5</v>
      </c>
      <c r="M660" s="5">
        <v>2</v>
      </c>
      <c r="N660" s="5">
        <v>1</v>
      </c>
      <c r="P660" s="5" t="s">
        <v>228</v>
      </c>
    </row>
    <row r="661" spans="1:16" s="5" customFormat="1" x14ac:dyDescent="0.25">
      <c r="A661" s="6">
        <v>45023</v>
      </c>
      <c r="B661" s="5">
        <v>81</v>
      </c>
      <c r="C661" s="5">
        <v>9</v>
      </c>
      <c r="D661" s="5">
        <f t="shared" si="24"/>
        <v>8.3333333333333332E-3</v>
      </c>
      <c r="E661" s="5">
        <f t="shared" si="25"/>
        <v>6.6666666666666666E-2</v>
      </c>
      <c r="F661" s="5">
        <v>12.5</v>
      </c>
      <c r="G661" s="5">
        <v>0</v>
      </c>
      <c r="H661" s="5">
        <v>-2</v>
      </c>
      <c r="I661" s="5">
        <v>1.2</v>
      </c>
      <c r="J661" s="5">
        <v>0.5</v>
      </c>
      <c r="M661" s="5">
        <v>2</v>
      </c>
      <c r="N661" s="5">
        <v>1</v>
      </c>
      <c r="P661" s="5" t="s">
        <v>229</v>
      </c>
    </row>
    <row r="662" spans="1:16" s="5" customFormat="1" x14ac:dyDescent="0.25">
      <c r="A662" s="6">
        <v>45023</v>
      </c>
      <c r="B662" s="5">
        <v>81</v>
      </c>
      <c r="C662" s="5">
        <v>10</v>
      </c>
      <c r="D662" s="5">
        <f t="shared" si="24"/>
        <v>8.3333333333333332E-3</v>
      </c>
      <c r="E662" s="5">
        <f t="shared" si="25"/>
        <v>6.6666666666666666E-2</v>
      </c>
      <c r="F662" s="5">
        <v>12.5</v>
      </c>
      <c r="G662" s="5">
        <v>0</v>
      </c>
      <c r="H662" s="5">
        <v>-2</v>
      </c>
      <c r="I662" s="5">
        <v>1.2</v>
      </c>
      <c r="J662" s="5">
        <v>0.5</v>
      </c>
      <c r="M662" s="5">
        <v>2</v>
      </c>
      <c r="N662" s="5">
        <v>1</v>
      </c>
      <c r="P662" s="5" t="s">
        <v>230</v>
      </c>
    </row>
    <row r="663" spans="1:16" s="5" customFormat="1" x14ac:dyDescent="0.25">
      <c r="A663" s="6">
        <v>45023</v>
      </c>
      <c r="B663" s="5">
        <v>81</v>
      </c>
      <c r="C663" s="5">
        <v>12</v>
      </c>
      <c r="D663" s="5">
        <f t="shared" si="24"/>
        <v>8.3333333333333332E-3</v>
      </c>
      <c r="E663" s="5">
        <f t="shared" si="25"/>
        <v>6.6666666666666666E-2</v>
      </c>
      <c r="F663" s="5">
        <v>12.5</v>
      </c>
      <c r="G663" s="5">
        <v>0</v>
      </c>
      <c r="H663" s="5">
        <v>-2</v>
      </c>
      <c r="I663" s="5">
        <v>1.2</v>
      </c>
      <c r="J663" s="5">
        <v>0.5</v>
      </c>
      <c r="M663" s="5">
        <v>2</v>
      </c>
      <c r="N663" s="5">
        <v>1</v>
      </c>
      <c r="P663" s="5" t="s">
        <v>310</v>
      </c>
    </row>
    <row r="664" spans="1:16" s="5" customFormat="1" x14ac:dyDescent="0.25">
      <c r="A664" s="6">
        <v>45023</v>
      </c>
      <c r="B664" s="5">
        <v>81</v>
      </c>
      <c r="C664" s="5">
        <v>13</v>
      </c>
      <c r="D664" s="5">
        <f t="shared" si="24"/>
        <v>8.3333333333333332E-3</v>
      </c>
      <c r="E664" s="5">
        <f t="shared" si="25"/>
        <v>6.6666666666666666E-2</v>
      </c>
      <c r="F664" s="5">
        <v>12.5</v>
      </c>
      <c r="G664" s="5">
        <v>0</v>
      </c>
      <c r="H664" s="5">
        <v>-2</v>
      </c>
      <c r="I664" s="5">
        <v>1.2</v>
      </c>
      <c r="J664" s="5">
        <v>0.5</v>
      </c>
      <c r="M664" s="5">
        <v>2</v>
      </c>
      <c r="N664" s="5">
        <v>1</v>
      </c>
      <c r="P664" s="5" t="s">
        <v>229</v>
      </c>
    </row>
    <row r="665" spans="1:16" s="5" customFormat="1" x14ac:dyDescent="0.25">
      <c r="A665" s="6">
        <v>45023</v>
      </c>
      <c r="B665" s="5">
        <v>81</v>
      </c>
      <c r="C665" s="5">
        <v>14</v>
      </c>
      <c r="D665" s="5">
        <f t="shared" si="24"/>
        <v>8.3333333333333332E-3</v>
      </c>
      <c r="E665" s="5">
        <f t="shared" si="25"/>
        <v>6.6666666666666666E-2</v>
      </c>
      <c r="F665" s="5">
        <v>12.5</v>
      </c>
      <c r="G665" s="5">
        <v>0</v>
      </c>
      <c r="H665" s="5">
        <v>-2</v>
      </c>
      <c r="I665" s="5">
        <v>1.2</v>
      </c>
      <c r="J665" s="5">
        <v>0.5</v>
      </c>
      <c r="M665" s="5">
        <v>2</v>
      </c>
      <c r="N665" s="5">
        <v>1</v>
      </c>
      <c r="P665" s="5" t="s">
        <v>255</v>
      </c>
    </row>
    <row r="666" spans="1:16" s="5" customFormat="1" x14ac:dyDescent="0.25">
      <c r="A666" s="6">
        <v>45023</v>
      </c>
      <c r="B666" s="5">
        <v>81</v>
      </c>
      <c r="C666" s="5">
        <v>15</v>
      </c>
      <c r="D666" s="5">
        <f t="shared" si="24"/>
        <v>8.3333333333333332E-3</v>
      </c>
      <c r="E666" s="5">
        <f t="shared" si="25"/>
        <v>6.6666666666666666E-2</v>
      </c>
      <c r="F666" s="5">
        <v>12.5</v>
      </c>
      <c r="G666" s="5">
        <v>0</v>
      </c>
      <c r="H666" s="5">
        <v>-2</v>
      </c>
      <c r="I666" s="5">
        <v>1.2</v>
      </c>
      <c r="J666" s="5">
        <v>0.5</v>
      </c>
      <c r="M666" s="5">
        <v>2</v>
      </c>
      <c r="N666" s="5">
        <v>1</v>
      </c>
      <c r="P666" s="5" t="s">
        <v>245</v>
      </c>
    </row>
    <row r="667" spans="1:16" s="5" customFormat="1" x14ac:dyDescent="0.25">
      <c r="A667" s="6">
        <v>45023</v>
      </c>
      <c r="B667" s="5">
        <v>81</v>
      </c>
      <c r="C667" s="5">
        <v>18</v>
      </c>
      <c r="D667" s="5">
        <f t="shared" si="24"/>
        <v>8.3333333333333332E-3</v>
      </c>
      <c r="E667" s="5">
        <f t="shared" si="25"/>
        <v>6.6666666666666666E-2</v>
      </c>
      <c r="F667" s="5">
        <v>12.5</v>
      </c>
      <c r="G667" s="5">
        <v>0</v>
      </c>
      <c r="H667" s="5">
        <v>-2</v>
      </c>
      <c r="I667" s="5">
        <v>1.2</v>
      </c>
      <c r="J667" s="5">
        <v>0.5</v>
      </c>
      <c r="M667" s="5">
        <v>2</v>
      </c>
      <c r="N667" s="5">
        <v>1</v>
      </c>
      <c r="P667" s="5" t="s">
        <v>228</v>
      </c>
    </row>
    <row r="668" spans="1:16" s="5" customFormat="1" x14ac:dyDescent="0.25">
      <c r="A668" s="6">
        <v>45023</v>
      </c>
      <c r="B668" s="5">
        <v>81</v>
      </c>
      <c r="C668" s="5">
        <v>20</v>
      </c>
      <c r="D668" s="5">
        <f t="shared" si="24"/>
        <v>8.3333333333333332E-3</v>
      </c>
      <c r="E668" s="5">
        <f t="shared" si="25"/>
        <v>6.6666666666666666E-2</v>
      </c>
      <c r="F668" s="5">
        <v>12.5</v>
      </c>
      <c r="G668" s="5">
        <v>0</v>
      </c>
      <c r="H668" s="5">
        <v>-2</v>
      </c>
      <c r="I668" s="5">
        <v>1.2</v>
      </c>
      <c r="J668" s="5">
        <v>0.5</v>
      </c>
      <c r="M668" s="5">
        <v>2</v>
      </c>
      <c r="N668" s="5">
        <v>1</v>
      </c>
      <c r="P668" s="5" t="s">
        <v>336</v>
      </c>
    </row>
    <row r="669" spans="1:16" s="5" customFormat="1" x14ac:dyDescent="0.25">
      <c r="A669" s="6">
        <v>45023</v>
      </c>
      <c r="B669" s="5">
        <v>81</v>
      </c>
      <c r="C669" s="5">
        <v>21</v>
      </c>
      <c r="D669" s="5">
        <f t="shared" si="24"/>
        <v>8.3333333333333332E-3</v>
      </c>
      <c r="E669" s="5">
        <f t="shared" si="25"/>
        <v>6.6666666666666666E-2</v>
      </c>
      <c r="F669" s="5">
        <v>12.5</v>
      </c>
      <c r="G669" s="5">
        <v>0</v>
      </c>
      <c r="H669" s="5">
        <v>-2</v>
      </c>
      <c r="I669" s="5">
        <v>1.2</v>
      </c>
      <c r="J669" s="5">
        <v>0.5</v>
      </c>
      <c r="M669" s="5">
        <v>2</v>
      </c>
      <c r="N669" s="5">
        <v>1</v>
      </c>
      <c r="P669" s="5" t="s">
        <v>229</v>
      </c>
    </row>
    <row r="670" spans="1:16" s="5" customFormat="1" x14ac:dyDescent="0.25">
      <c r="A670" s="6">
        <v>45023</v>
      </c>
      <c r="B670" s="5">
        <v>81</v>
      </c>
      <c r="C670" s="5">
        <v>22</v>
      </c>
      <c r="D670" s="5">
        <f t="shared" si="24"/>
        <v>8.3333333333333332E-3</v>
      </c>
      <c r="E670" s="5">
        <f t="shared" si="25"/>
        <v>6.6666666666666666E-2</v>
      </c>
      <c r="F670" s="5">
        <v>12.5</v>
      </c>
      <c r="G670" s="5">
        <v>0</v>
      </c>
      <c r="H670" s="5">
        <v>-2</v>
      </c>
      <c r="I670" s="5">
        <v>1.2</v>
      </c>
      <c r="J670" s="5">
        <v>0.5</v>
      </c>
      <c r="M670" s="5">
        <v>2</v>
      </c>
      <c r="N670" s="5">
        <v>1</v>
      </c>
      <c r="P670" s="5" t="s">
        <v>229</v>
      </c>
    </row>
    <row r="671" spans="1:16" s="5" customFormat="1" x14ac:dyDescent="0.25">
      <c r="A671" s="6">
        <v>45023</v>
      </c>
      <c r="B671" s="5">
        <v>81</v>
      </c>
      <c r="C671" s="5">
        <v>23</v>
      </c>
      <c r="D671" s="5">
        <f t="shared" si="24"/>
        <v>8.3333333333333332E-3</v>
      </c>
      <c r="E671" s="5">
        <f t="shared" si="25"/>
        <v>6.6666666666666666E-2</v>
      </c>
      <c r="F671" s="5">
        <v>12.5</v>
      </c>
      <c r="G671" s="5">
        <v>0</v>
      </c>
      <c r="H671" s="5">
        <v>-2</v>
      </c>
      <c r="I671" s="5">
        <v>1.2</v>
      </c>
      <c r="J671" s="5">
        <v>0.5</v>
      </c>
      <c r="M671" s="5">
        <v>2</v>
      </c>
      <c r="N671" s="5">
        <v>1</v>
      </c>
      <c r="P671" s="5" t="s">
        <v>230</v>
      </c>
    </row>
    <row r="672" spans="1:16" s="5" customFormat="1" x14ac:dyDescent="0.25">
      <c r="A672" s="6">
        <v>45033</v>
      </c>
      <c r="B672" s="5">
        <v>82</v>
      </c>
      <c r="C672" s="5">
        <v>2</v>
      </c>
      <c r="D672" s="5">
        <f t="shared" si="24"/>
        <v>8.3333333333333332E-3</v>
      </c>
      <c r="E672" s="5">
        <f t="shared" si="25"/>
        <v>6.6666666666666666E-2</v>
      </c>
      <c r="F672" s="5">
        <v>12.5</v>
      </c>
      <c r="G672" s="5">
        <v>0</v>
      </c>
      <c r="H672" s="5">
        <v>-2</v>
      </c>
      <c r="I672" s="5">
        <v>1.2</v>
      </c>
      <c r="J672" s="5">
        <v>0.5</v>
      </c>
      <c r="M672" s="5">
        <v>2</v>
      </c>
      <c r="N672" s="5">
        <v>1</v>
      </c>
      <c r="P672" s="5" t="s">
        <v>311</v>
      </c>
    </row>
    <row r="673" spans="1:16" s="5" customFormat="1" x14ac:dyDescent="0.25">
      <c r="A673" s="6">
        <v>45033</v>
      </c>
      <c r="B673" s="5">
        <v>82</v>
      </c>
      <c r="C673" s="5">
        <v>4</v>
      </c>
      <c r="D673" s="5">
        <f t="shared" si="24"/>
        <v>8.3333333333333332E-3</v>
      </c>
      <c r="E673" s="5">
        <f t="shared" si="25"/>
        <v>6.6666666666666666E-2</v>
      </c>
      <c r="F673" s="5">
        <v>12.5</v>
      </c>
      <c r="G673" s="5">
        <v>0</v>
      </c>
      <c r="H673" s="5">
        <v>-2</v>
      </c>
      <c r="I673" s="5">
        <v>1.2</v>
      </c>
      <c r="J673" s="5">
        <v>0.5</v>
      </c>
      <c r="M673" s="5">
        <v>2</v>
      </c>
      <c r="N673" s="5">
        <v>1</v>
      </c>
      <c r="P673" s="5" t="s">
        <v>251</v>
      </c>
    </row>
    <row r="674" spans="1:16" s="5" customFormat="1" x14ac:dyDescent="0.25">
      <c r="A674" s="6">
        <v>45033</v>
      </c>
      <c r="B674" s="5">
        <v>82</v>
      </c>
      <c r="C674" s="5">
        <v>5</v>
      </c>
      <c r="D674" s="5">
        <f t="shared" si="24"/>
        <v>8.3333333333333332E-3</v>
      </c>
      <c r="E674" s="5">
        <f t="shared" si="25"/>
        <v>6.6666666666666666E-2</v>
      </c>
      <c r="F674" s="5">
        <v>12.5</v>
      </c>
      <c r="G674" s="5">
        <v>0</v>
      </c>
      <c r="H674" s="5">
        <v>-2</v>
      </c>
      <c r="I674" s="5">
        <v>1.2</v>
      </c>
      <c r="J674" s="5">
        <v>0.5</v>
      </c>
      <c r="M674" s="5">
        <v>2</v>
      </c>
      <c r="N674" s="5">
        <v>1</v>
      </c>
      <c r="P674" s="5" t="s">
        <v>252</v>
      </c>
    </row>
    <row r="675" spans="1:16" s="5" customFormat="1" x14ac:dyDescent="0.25">
      <c r="A675" s="6">
        <v>45033</v>
      </c>
      <c r="B675" s="5">
        <v>82</v>
      </c>
      <c r="C675" s="5">
        <v>7</v>
      </c>
      <c r="D675" s="5">
        <f t="shared" si="24"/>
        <v>8.3333333333333332E-3</v>
      </c>
      <c r="E675" s="5">
        <f t="shared" si="25"/>
        <v>6.6666666666666666E-2</v>
      </c>
      <c r="F675" s="5">
        <v>12.5</v>
      </c>
      <c r="G675" s="5">
        <v>0</v>
      </c>
      <c r="H675" s="5">
        <v>-2</v>
      </c>
      <c r="I675" s="5">
        <v>1.2</v>
      </c>
      <c r="J675" s="5">
        <v>0.5</v>
      </c>
      <c r="M675" s="5">
        <v>2</v>
      </c>
      <c r="N675" s="5">
        <v>1</v>
      </c>
      <c r="P675" s="5" t="s">
        <v>235</v>
      </c>
    </row>
    <row r="676" spans="1:16" s="5" customFormat="1" x14ac:dyDescent="0.25">
      <c r="A676" s="6">
        <v>45033</v>
      </c>
      <c r="B676" s="5">
        <v>82</v>
      </c>
      <c r="C676" s="5">
        <v>8</v>
      </c>
      <c r="D676" s="5">
        <f t="shared" si="24"/>
        <v>8.3333333333333332E-3</v>
      </c>
      <c r="E676" s="5">
        <f t="shared" si="25"/>
        <v>6.6666666666666666E-2</v>
      </c>
      <c r="F676" s="5">
        <v>12.5</v>
      </c>
      <c r="G676" s="5">
        <v>0</v>
      </c>
      <c r="H676" s="5">
        <v>-2</v>
      </c>
      <c r="I676" s="5">
        <v>1.2</v>
      </c>
      <c r="J676" s="5">
        <v>0.5</v>
      </c>
      <c r="M676" s="5">
        <v>2</v>
      </c>
      <c r="N676" s="5">
        <v>1</v>
      </c>
      <c r="P676" s="5" t="s">
        <v>236</v>
      </c>
    </row>
    <row r="677" spans="1:16" s="5" customFormat="1" x14ac:dyDescent="0.25">
      <c r="A677" s="6">
        <v>45033</v>
      </c>
      <c r="B677" s="5">
        <v>82</v>
      </c>
      <c r="C677" s="5">
        <v>9</v>
      </c>
      <c r="D677" s="5">
        <f t="shared" si="24"/>
        <v>8.3333333333333332E-3</v>
      </c>
      <c r="E677" s="5">
        <f t="shared" si="25"/>
        <v>6.6666666666666666E-2</v>
      </c>
      <c r="F677" s="5">
        <v>12.5</v>
      </c>
      <c r="G677" s="5">
        <v>0</v>
      </c>
      <c r="H677" s="5">
        <v>-2</v>
      </c>
      <c r="I677" s="5">
        <v>1.2</v>
      </c>
      <c r="J677" s="5">
        <v>0.5</v>
      </c>
      <c r="M677" s="5">
        <v>2</v>
      </c>
      <c r="N677" s="5">
        <v>1</v>
      </c>
      <c r="P677" s="5" t="s">
        <v>237</v>
      </c>
    </row>
    <row r="678" spans="1:16" s="5" customFormat="1" x14ac:dyDescent="0.25">
      <c r="A678" s="6">
        <v>45033</v>
      </c>
      <c r="B678" s="5">
        <v>83</v>
      </c>
      <c r="C678" s="5">
        <v>11</v>
      </c>
      <c r="D678" s="5">
        <f t="shared" si="24"/>
        <v>8.3333333333333332E-3</v>
      </c>
      <c r="E678" s="5">
        <f t="shared" si="25"/>
        <v>6.6666666666666666E-2</v>
      </c>
      <c r="F678" s="5">
        <v>12.5</v>
      </c>
      <c r="G678" s="5">
        <v>0</v>
      </c>
      <c r="H678" s="5">
        <v>-2</v>
      </c>
      <c r="I678" s="5">
        <v>1.2</v>
      </c>
      <c r="J678" s="5">
        <v>0.5</v>
      </c>
      <c r="M678" s="5">
        <v>2</v>
      </c>
      <c r="N678" s="5">
        <v>1</v>
      </c>
      <c r="P678" s="5" t="s">
        <v>170</v>
      </c>
    </row>
    <row r="679" spans="1:16" s="5" customFormat="1" x14ac:dyDescent="0.25">
      <c r="A679" s="6">
        <v>45033</v>
      </c>
      <c r="B679" s="5">
        <v>83</v>
      </c>
      <c r="C679" s="5">
        <v>12</v>
      </c>
      <c r="D679" s="5">
        <f t="shared" si="24"/>
        <v>8.3333333333333332E-3</v>
      </c>
      <c r="E679" s="5">
        <f t="shared" si="25"/>
        <v>6.6666666666666666E-2</v>
      </c>
      <c r="F679" s="5">
        <v>12.5</v>
      </c>
      <c r="G679" s="5">
        <v>0</v>
      </c>
      <c r="H679" s="5">
        <v>-2</v>
      </c>
      <c r="I679" s="5">
        <v>1.2</v>
      </c>
      <c r="J679" s="5">
        <v>0.5</v>
      </c>
      <c r="M679" s="5">
        <v>2</v>
      </c>
      <c r="N679" s="5">
        <v>1</v>
      </c>
      <c r="P679" s="5" t="s">
        <v>170</v>
      </c>
    </row>
    <row r="680" spans="1:16" s="5" customFormat="1" x14ac:dyDescent="0.25">
      <c r="A680" s="6">
        <v>45033</v>
      </c>
      <c r="B680" s="5">
        <v>83</v>
      </c>
      <c r="C680" s="5">
        <v>13</v>
      </c>
      <c r="D680" s="5">
        <f t="shared" si="24"/>
        <v>8.3333333333333332E-3</v>
      </c>
      <c r="E680" s="5">
        <f t="shared" si="25"/>
        <v>6.6666666666666666E-2</v>
      </c>
      <c r="F680" s="5">
        <v>12.5</v>
      </c>
      <c r="G680" s="5">
        <v>0</v>
      </c>
      <c r="H680" s="5">
        <v>-2</v>
      </c>
      <c r="I680" s="5">
        <v>1.2</v>
      </c>
      <c r="J680" s="5">
        <v>0.5</v>
      </c>
      <c r="M680" s="5">
        <v>2</v>
      </c>
      <c r="N680" s="5">
        <v>1</v>
      </c>
      <c r="P680" s="5" t="s">
        <v>311</v>
      </c>
    </row>
    <row r="681" spans="1:16" s="5" customFormat="1" x14ac:dyDescent="0.25">
      <c r="A681" s="6">
        <v>45033</v>
      </c>
      <c r="B681" s="5">
        <v>83</v>
      </c>
      <c r="C681" s="5">
        <v>15</v>
      </c>
      <c r="D681" s="5">
        <f t="shared" si="24"/>
        <v>8.3333333333333332E-3</v>
      </c>
      <c r="E681" s="5">
        <f t="shared" si="25"/>
        <v>6.6666666666666666E-2</v>
      </c>
      <c r="F681" s="5">
        <v>12.5</v>
      </c>
      <c r="G681" s="5">
        <v>0</v>
      </c>
      <c r="H681" s="5">
        <v>-2</v>
      </c>
      <c r="I681" s="5">
        <v>1.2</v>
      </c>
      <c r="J681" s="5">
        <v>0.5</v>
      </c>
      <c r="M681" s="5">
        <v>2</v>
      </c>
      <c r="N681" s="5">
        <v>1</v>
      </c>
      <c r="P681" s="5" t="s">
        <v>251</v>
      </c>
    </row>
    <row r="682" spans="1:16" s="5" customFormat="1" x14ac:dyDescent="0.25">
      <c r="A682" s="6">
        <v>45033</v>
      </c>
      <c r="B682" s="5">
        <v>83</v>
      </c>
      <c r="C682" s="5">
        <v>16</v>
      </c>
      <c r="D682" s="5">
        <f t="shared" si="24"/>
        <v>8.3333333333333332E-3</v>
      </c>
      <c r="E682" s="5">
        <f t="shared" si="25"/>
        <v>6.6666666666666666E-2</v>
      </c>
      <c r="F682" s="5">
        <v>12.5</v>
      </c>
      <c r="G682" s="5">
        <v>0</v>
      </c>
      <c r="H682" s="5">
        <v>-2</v>
      </c>
      <c r="I682" s="5">
        <v>1.2</v>
      </c>
      <c r="J682" s="5">
        <v>0.5</v>
      </c>
      <c r="M682" s="5">
        <v>2</v>
      </c>
      <c r="N682" s="5">
        <v>1</v>
      </c>
      <c r="P682" s="5" t="s">
        <v>252</v>
      </c>
    </row>
    <row r="683" spans="1:16" s="5" customFormat="1" x14ac:dyDescent="0.25">
      <c r="A683" s="6">
        <v>45033</v>
      </c>
      <c r="B683" s="5">
        <v>83</v>
      </c>
      <c r="C683" s="5">
        <v>18</v>
      </c>
      <c r="D683" s="5">
        <f t="shared" si="24"/>
        <v>8.3333333333333332E-3</v>
      </c>
      <c r="E683" s="5">
        <f t="shared" si="25"/>
        <v>6.6666666666666666E-2</v>
      </c>
      <c r="F683" s="5">
        <v>12.5</v>
      </c>
      <c r="G683" s="5">
        <v>0</v>
      </c>
      <c r="H683" s="5">
        <v>-2</v>
      </c>
      <c r="I683" s="5">
        <v>1.2</v>
      </c>
      <c r="J683" s="5">
        <v>0.5</v>
      </c>
      <c r="M683" s="5">
        <v>2</v>
      </c>
      <c r="N683" s="5">
        <v>1</v>
      </c>
      <c r="P683" s="5" t="s">
        <v>238</v>
      </c>
    </row>
    <row r="684" spans="1:16" s="5" customFormat="1" x14ac:dyDescent="0.25">
      <c r="A684" s="6">
        <v>45033</v>
      </c>
      <c r="B684" s="5">
        <v>83</v>
      </c>
      <c r="C684" s="5">
        <v>20</v>
      </c>
      <c r="D684" s="5">
        <f t="shared" si="24"/>
        <v>8.3333333333333332E-3</v>
      </c>
      <c r="E684" s="5">
        <f t="shared" si="25"/>
        <v>6.6666666666666666E-2</v>
      </c>
      <c r="F684" s="5">
        <v>12.5</v>
      </c>
      <c r="G684" s="5">
        <v>0</v>
      </c>
      <c r="H684" s="5">
        <v>-2</v>
      </c>
      <c r="I684" s="5">
        <v>1.2</v>
      </c>
      <c r="J684" s="5">
        <v>0.5</v>
      </c>
      <c r="M684" s="5">
        <v>2</v>
      </c>
      <c r="N684" s="5">
        <v>1</v>
      </c>
      <c r="P684" s="5" t="s">
        <v>239</v>
      </c>
    </row>
    <row r="685" spans="1:16" s="5" customFormat="1" x14ac:dyDescent="0.25">
      <c r="A685" s="6">
        <v>45035</v>
      </c>
      <c r="B685" s="5">
        <v>84</v>
      </c>
      <c r="C685" s="5">
        <v>3</v>
      </c>
      <c r="D685" s="5">
        <f t="shared" si="24"/>
        <v>8.3333333333333332E-3</v>
      </c>
      <c r="E685" s="5">
        <f t="shared" si="25"/>
        <v>6.6666666666666666E-2</v>
      </c>
      <c r="F685" s="5">
        <v>12.5</v>
      </c>
      <c r="G685" s="5">
        <v>0</v>
      </c>
      <c r="H685" s="5">
        <v>-2</v>
      </c>
      <c r="I685" s="5">
        <v>1.2</v>
      </c>
      <c r="J685" s="5">
        <v>0.5</v>
      </c>
      <c r="M685" s="5">
        <v>2</v>
      </c>
      <c r="N685" s="5">
        <v>1</v>
      </c>
      <c r="P685" s="5" t="s">
        <v>302</v>
      </c>
    </row>
    <row r="686" spans="1:16" s="5" customFormat="1" x14ac:dyDescent="0.25">
      <c r="A686" s="6">
        <v>45035</v>
      </c>
      <c r="B686" s="5">
        <v>84</v>
      </c>
      <c r="C686" s="5">
        <v>4</v>
      </c>
      <c r="D686" s="5">
        <f t="shared" si="24"/>
        <v>8.3333333333333332E-3</v>
      </c>
      <c r="E686" s="5">
        <f t="shared" si="25"/>
        <v>6.6666666666666666E-2</v>
      </c>
      <c r="F686" s="5">
        <v>12.5</v>
      </c>
      <c r="G686" s="5">
        <v>0</v>
      </c>
      <c r="H686" s="5">
        <v>-2</v>
      </c>
      <c r="I686" s="5">
        <v>1.2</v>
      </c>
      <c r="J686" s="5">
        <v>0.5</v>
      </c>
      <c r="M686" s="5">
        <v>2</v>
      </c>
      <c r="N686" s="5">
        <v>1</v>
      </c>
      <c r="P686" s="5" t="s">
        <v>240</v>
      </c>
    </row>
    <row r="687" spans="1:16" s="5" customFormat="1" x14ac:dyDescent="0.25">
      <c r="A687" s="6">
        <v>45035</v>
      </c>
      <c r="B687" s="5">
        <v>84</v>
      </c>
      <c r="C687" s="5">
        <v>5</v>
      </c>
      <c r="D687" s="5">
        <f t="shared" si="24"/>
        <v>8.3333333333333332E-3</v>
      </c>
      <c r="E687" s="5">
        <f t="shared" si="25"/>
        <v>6.6666666666666666E-2</v>
      </c>
      <c r="F687" s="5">
        <v>12.5</v>
      </c>
      <c r="G687" s="5">
        <v>0</v>
      </c>
      <c r="H687" s="5">
        <v>-2</v>
      </c>
      <c r="I687" s="5">
        <v>1.2</v>
      </c>
      <c r="J687" s="5">
        <v>0.5</v>
      </c>
      <c r="M687" s="5">
        <v>2</v>
      </c>
      <c r="N687" s="5">
        <v>1</v>
      </c>
      <c r="P687" s="5" t="s">
        <v>250</v>
      </c>
    </row>
    <row r="688" spans="1:16" s="5" customFormat="1" x14ac:dyDescent="0.25">
      <c r="A688" s="6">
        <v>45035</v>
      </c>
      <c r="B688" s="5">
        <v>84</v>
      </c>
      <c r="C688" s="5">
        <v>7</v>
      </c>
      <c r="D688" s="5">
        <f t="shared" si="24"/>
        <v>8.3333333333333332E-3</v>
      </c>
      <c r="E688" s="5">
        <f t="shared" si="25"/>
        <v>6.6666666666666666E-2</v>
      </c>
      <c r="F688" s="5">
        <v>12.5</v>
      </c>
      <c r="G688" s="5">
        <v>0</v>
      </c>
      <c r="H688" s="5">
        <v>-2</v>
      </c>
      <c r="I688" s="5">
        <v>1.2</v>
      </c>
      <c r="J688" s="5">
        <v>0.5</v>
      </c>
      <c r="M688" s="5">
        <v>2</v>
      </c>
      <c r="N688" s="5">
        <v>1</v>
      </c>
      <c r="P688" s="5" t="s">
        <v>251</v>
      </c>
    </row>
    <row r="689" spans="1:16" s="5" customFormat="1" x14ac:dyDescent="0.25">
      <c r="A689" s="6">
        <v>45035</v>
      </c>
      <c r="B689" s="5">
        <v>84</v>
      </c>
      <c r="C689" s="5">
        <v>9</v>
      </c>
      <c r="D689" s="5">
        <f t="shared" si="24"/>
        <v>8.3333333333333332E-3</v>
      </c>
      <c r="E689" s="5">
        <f t="shared" si="25"/>
        <v>6.6666666666666666E-2</v>
      </c>
      <c r="F689" s="5">
        <v>12.5</v>
      </c>
      <c r="G689" s="5">
        <v>0</v>
      </c>
      <c r="H689" s="5">
        <v>-2</v>
      </c>
      <c r="I689" s="5">
        <v>1.2</v>
      </c>
      <c r="J689" s="5">
        <v>0.5</v>
      </c>
      <c r="M689" s="5">
        <v>2</v>
      </c>
      <c r="N689" s="5">
        <v>1</v>
      </c>
      <c r="P689" s="5" t="s">
        <v>252</v>
      </c>
    </row>
    <row r="690" spans="1:16" s="5" customFormat="1" x14ac:dyDescent="0.25">
      <c r="A690" s="6">
        <v>45035</v>
      </c>
      <c r="B690" s="5">
        <v>84</v>
      </c>
      <c r="C690" s="5">
        <v>10</v>
      </c>
      <c r="D690" s="5">
        <f t="shared" si="24"/>
        <v>8.3333333333333332E-3</v>
      </c>
      <c r="E690" s="5">
        <f t="shared" si="25"/>
        <v>6.6666666666666666E-2</v>
      </c>
      <c r="F690" s="5">
        <v>12.5</v>
      </c>
      <c r="G690" s="5">
        <v>0</v>
      </c>
      <c r="H690" s="5">
        <v>-2</v>
      </c>
      <c r="I690" s="5">
        <v>1.2</v>
      </c>
      <c r="J690" s="5">
        <v>0.5</v>
      </c>
      <c r="M690" s="5">
        <v>2</v>
      </c>
      <c r="N690" s="5">
        <v>1</v>
      </c>
      <c r="P690" s="5" t="s">
        <v>334</v>
      </c>
    </row>
    <row r="691" spans="1:16" s="5" customFormat="1" x14ac:dyDescent="0.25">
      <c r="A691" s="6">
        <v>45035</v>
      </c>
      <c r="B691" s="5">
        <v>84</v>
      </c>
      <c r="C691" s="5">
        <v>12</v>
      </c>
      <c r="D691" s="5">
        <f t="shared" si="24"/>
        <v>8.3333333333333332E-3</v>
      </c>
      <c r="E691" s="5">
        <f t="shared" si="25"/>
        <v>6.6666666666666666E-2</v>
      </c>
      <c r="F691" s="5">
        <v>12.5</v>
      </c>
      <c r="G691" s="5">
        <v>0</v>
      </c>
      <c r="H691" s="5">
        <v>-2</v>
      </c>
      <c r="I691" s="5">
        <v>1.2</v>
      </c>
      <c r="J691" s="5">
        <v>0.5</v>
      </c>
      <c r="M691" s="5">
        <v>2</v>
      </c>
      <c r="N691" s="5">
        <v>1</v>
      </c>
      <c r="P691" s="5" t="s">
        <v>234</v>
      </c>
    </row>
    <row r="692" spans="1:16" s="5" customFormat="1" x14ac:dyDescent="0.25">
      <c r="A692" s="6">
        <v>45035</v>
      </c>
      <c r="B692" s="5">
        <v>84</v>
      </c>
      <c r="C692" s="5">
        <v>13</v>
      </c>
      <c r="D692" s="5">
        <f t="shared" si="24"/>
        <v>8.3333333333333332E-3</v>
      </c>
      <c r="E692" s="5">
        <f t="shared" si="25"/>
        <v>6.6666666666666666E-2</v>
      </c>
      <c r="F692" s="5">
        <v>12.5</v>
      </c>
      <c r="G692" s="5">
        <v>0</v>
      </c>
      <c r="H692" s="5">
        <v>-2</v>
      </c>
      <c r="I692" s="5">
        <v>1.2</v>
      </c>
      <c r="J692" s="5">
        <v>0.5</v>
      </c>
      <c r="M692" s="5">
        <v>2</v>
      </c>
      <c r="N692" s="5">
        <v>1</v>
      </c>
      <c r="P692" s="5" t="s">
        <v>254</v>
      </c>
    </row>
    <row r="693" spans="1:16" s="5" customFormat="1" x14ac:dyDescent="0.25">
      <c r="A693" s="6">
        <v>45035</v>
      </c>
      <c r="B693" s="5">
        <v>85</v>
      </c>
      <c r="C693" s="5">
        <v>15</v>
      </c>
      <c r="D693" s="5">
        <f t="shared" si="24"/>
        <v>8.3333333333333332E-3</v>
      </c>
      <c r="E693" s="5">
        <f t="shared" si="25"/>
        <v>6.6666666666666666E-2</v>
      </c>
      <c r="F693" s="5">
        <v>12.5</v>
      </c>
      <c r="G693" s="5">
        <v>0</v>
      </c>
      <c r="H693" s="5">
        <v>-2</v>
      </c>
      <c r="I693" s="5">
        <v>1.2</v>
      </c>
      <c r="J693" s="5">
        <v>0.5</v>
      </c>
      <c r="M693" s="5">
        <v>2</v>
      </c>
      <c r="N693" s="5">
        <v>1</v>
      </c>
      <c r="P693" s="5" t="s">
        <v>311</v>
      </c>
    </row>
    <row r="694" spans="1:16" s="5" customFormat="1" x14ac:dyDescent="0.25">
      <c r="A694" s="6">
        <v>45035</v>
      </c>
      <c r="B694" s="5">
        <v>85</v>
      </c>
      <c r="C694" s="5">
        <v>17</v>
      </c>
      <c r="D694" s="5">
        <f t="shared" si="24"/>
        <v>8.3333333333333332E-3</v>
      </c>
      <c r="E694" s="5">
        <f t="shared" si="25"/>
        <v>6.6666666666666666E-2</v>
      </c>
      <c r="F694" s="5">
        <v>12.5</v>
      </c>
      <c r="G694" s="5">
        <v>0</v>
      </c>
      <c r="H694" s="5">
        <v>-2</v>
      </c>
      <c r="I694" s="5">
        <v>1.2</v>
      </c>
      <c r="J694" s="5">
        <v>0.5</v>
      </c>
      <c r="M694" s="5">
        <v>2</v>
      </c>
      <c r="N694" s="5">
        <v>1</v>
      </c>
      <c r="P694" s="5" t="s">
        <v>251</v>
      </c>
    </row>
    <row r="695" spans="1:16" s="5" customFormat="1" x14ac:dyDescent="0.25">
      <c r="A695" s="6">
        <v>45035</v>
      </c>
      <c r="B695" s="5">
        <v>85</v>
      </c>
      <c r="C695" s="5">
        <v>18</v>
      </c>
      <c r="D695" s="5">
        <f t="shared" si="24"/>
        <v>8.3333333333333332E-3</v>
      </c>
      <c r="E695" s="5">
        <f t="shared" si="25"/>
        <v>6.6666666666666666E-2</v>
      </c>
      <c r="F695" s="5">
        <v>12.5</v>
      </c>
      <c r="G695" s="5">
        <v>0</v>
      </c>
      <c r="H695" s="5">
        <v>-2</v>
      </c>
      <c r="I695" s="5">
        <v>1.2</v>
      </c>
      <c r="J695" s="5">
        <v>0.5</v>
      </c>
      <c r="M695" s="5">
        <v>2</v>
      </c>
      <c r="N695" s="5">
        <v>1</v>
      </c>
      <c r="P695" s="5" t="s">
        <v>258</v>
      </c>
    </row>
    <row r="696" spans="1:16" s="5" customFormat="1" x14ac:dyDescent="0.25">
      <c r="A696" s="6">
        <v>45035</v>
      </c>
      <c r="B696" s="5">
        <v>85</v>
      </c>
      <c r="C696" s="5">
        <v>20</v>
      </c>
      <c r="D696" s="5">
        <f t="shared" si="24"/>
        <v>8.3333333333333332E-3</v>
      </c>
      <c r="E696" s="5">
        <f t="shared" si="25"/>
        <v>6.6666666666666666E-2</v>
      </c>
      <c r="F696" s="5">
        <v>12.5</v>
      </c>
      <c r="G696" s="5">
        <v>0</v>
      </c>
      <c r="H696" s="5">
        <v>-2</v>
      </c>
      <c r="I696" s="5">
        <v>1.2</v>
      </c>
      <c r="J696" s="5">
        <v>0.5</v>
      </c>
      <c r="M696" s="5">
        <v>2</v>
      </c>
      <c r="N696" s="5">
        <v>1</v>
      </c>
      <c r="P696" s="5" t="s">
        <v>259</v>
      </c>
    </row>
    <row r="697" spans="1:16" s="5" customFormat="1" x14ac:dyDescent="0.25">
      <c r="A697" s="6">
        <v>45035</v>
      </c>
      <c r="B697" s="5">
        <v>85</v>
      </c>
      <c r="C697" s="5">
        <v>21</v>
      </c>
      <c r="D697" s="5">
        <f t="shared" si="24"/>
        <v>8.3333333333333332E-3</v>
      </c>
      <c r="E697" s="5">
        <f t="shared" si="25"/>
        <v>6.6666666666666666E-2</v>
      </c>
      <c r="F697" s="5">
        <v>12.5</v>
      </c>
      <c r="G697" s="5">
        <v>0</v>
      </c>
      <c r="H697" s="5">
        <v>-2</v>
      </c>
      <c r="I697" s="5">
        <v>1.2</v>
      </c>
      <c r="J697" s="5">
        <v>0.5</v>
      </c>
      <c r="M697" s="5">
        <v>2</v>
      </c>
      <c r="N697" s="5">
        <v>1</v>
      </c>
      <c r="P697" s="5" t="s">
        <v>260</v>
      </c>
    </row>
    <row r="698" spans="1:16" s="5" customFormat="1" x14ac:dyDescent="0.25">
      <c r="A698" s="6">
        <v>45035</v>
      </c>
      <c r="B698" s="5">
        <v>85</v>
      </c>
      <c r="C698" s="5">
        <v>22</v>
      </c>
      <c r="D698" s="5">
        <f t="shared" si="24"/>
        <v>8.3333333333333332E-3</v>
      </c>
      <c r="E698" s="5">
        <f t="shared" si="25"/>
        <v>6.6666666666666666E-2</v>
      </c>
      <c r="F698" s="5">
        <v>12.5</v>
      </c>
      <c r="G698" s="5">
        <v>0</v>
      </c>
      <c r="H698" s="5">
        <v>-2</v>
      </c>
      <c r="I698" s="5">
        <v>1.2</v>
      </c>
      <c r="J698" s="5">
        <v>0.5</v>
      </c>
      <c r="M698" s="5">
        <v>2</v>
      </c>
      <c r="N698" s="5">
        <v>1</v>
      </c>
      <c r="P698" s="5" t="s">
        <v>261</v>
      </c>
    </row>
    <row r="699" spans="1:16" s="5" customFormat="1" x14ac:dyDescent="0.25">
      <c r="A699" s="6">
        <v>45035</v>
      </c>
      <c r="B699" s="5">
        <v>85</v>
      </c>
      <c r="C699" s="5">
        <v>23</v>
      </c>
      <c r="D699" s="5">
        <f t="shared" si="24"/>
        <v>8.3333333333333332E-3</v>
      </c>
      <c r="E699" s="5">
        <f t="shared" si="25"/>
        <v>6.6666666666666666E-2</v>
      </c>
      <c r="F699" s="5">
        <v>12.5</v>
      </c>
      <c r="G699" s="5">
        <v>0</v>
      </c>
      <c r="H699" s="5">
        <v>-2</v>
      </c>
      <c r="I699" s="5">
        <v>1.2</v>
      </c>
      <c r="J699" s="5">
        <v>0.5</v>
      </c>
      <c r="M699" s="5">
        <v>2</v>
      </c>
      <c r="N699" s="5">
        <v>1</v>
      </c>
      <c r="P699" s="5" t="s">
        <v>262</v>
      </c>
    </row>
    <row r="700" spans="1:16" s="5" customFormat="1" x14ac:dyDescent="0.25">
      <c r="A700" s="6">
        <v>45035</v>
      </c>
      <c r="B700" s="5">
        <v>85</v>
      </c>
      <c r="C700" s="5">
        <v>25</v>
      </c>
      <c r="D700" s="5">
        <f t="shared" si="24"/>
        <v>8.3333333333333332E-3</v>
      </c>
      <c r="E700" s="5">
        <f t="shared" si="25"/>
        <v>6.6666666666666666E-2</v>
      </c>
      <c r="F700" s="5">
        <v>12.5</v>
      </c>
      <c r="G700" s="5">
        <v>1</v>
      </c>
      <c r="H700" s="5">
        <v>-2</v>
      </c>
      <c r="I700" s="5">
        <v>1.2</v>
      </c>
      <c r="J700" s="5">
        <v>0.5</v>
      </c>
      <c r="M700" s="5">
        <v>2</v>
      </c>
      <c r="N700" s="5">
        <v>1</v>
      </c>
      <c r="P700" s="5" t="s">
        <v>334</v>
      </c>
    </row>
    <row r="701" spans="1:16" s="5" customFormat="1" x14ac:dyDescent="0.25">
      <c r="A701" s="6">
        <v>45036</v>
      </c>
      <c r="B701" s="5">
        <v>86</v>
      </c>
      <c r="C701" s="5">
        <v>2</v>
      </c>
      <c r="D701" s="5">
        <f t="shared" si="24"/>
        <v>8.3333333333333332E-3</v>
      </c>
      <c r="E701" s="5">
        <f t="shared" si="25"/>
        <v>6.6666666666666666E-2</v>
      </c>
      <c r="F701" s="5">
        <v>12.5</v>
      </c>
      <c r="G701" s="5">
        <v>0</v>
      </c>
      <c r="H701" s="5">
        <v>-2</v>
      </c>
      <c r="I701" s="5">
        <v>1.2</v>
      </c>
      <c r="J701" s="5">
        <v>0.5</v>
      </c>
      <c r="M701" s="5">
        <v>2</v>
      </c>
      <c r="N701" s="5">
        <v>1</v>
      </c>
      <c r="P701" s="5" t="s">
        <v>170</v>
      </c>
    </row>
    <row r="702" spans="1:16" s="5" customFormat="1" x14ac:dyDescent="0.25">
      <c r="A702" s="6">
        <v>45036</v>
      </c>
      <c r="B702" s="5">
        <v>86</v>
      </c>
      <c r="C702" s="5">
        <v>3</v>
      </c>
      <c r="D702" s="5">
        <f t="shared" si="24"/>
        <v>8.3333333333333332E-3</v>
      </c>
      <c r="E702" s="5">
        <f t="shared" si="25"/>
        <v>6.6666666666666666E-2</v>
      </c>
      <c r="F702" s="5">
        <v>12.5</v>
      </c>
      <c r="G702" s="5">
        <v>0</v>
      </c>
      <c r="H702" s="5">
        <v>-2</v>
      </c>
      <c r="I702" s="5">
        <v>1.2</v>
      </c>
      <c r="J702" s="5">
        <v>0.5</v>
      </c>
      <c r="M702" s="5">
        <v>2</v>
      </c>
      <c r="N702" s="5">
        <v>1</v>
      </c>
      <c r="P702" s="5" t="s">
        <v>170</v>
      </c>
    </row>
    <row r="703" spans="1:16" s="5" customFormat="1" x14ac:dyDescent="0.25">
      <c r="A703" s="6">
        <v>45036</v>
      </c>
      <c r="B703" s="5">
        <v>86</v>
      </c>
      <c r="C703" s="5">
        <v>5</v>
      </c>
      <c r="D703" s="5">
        <f t="shared" si="24"/>
        <v>8.3333333333333332E-3</v>
      </c>
      <c r="E703" s="5">
        <f t="shared" si="25"/>
        <v>6.6666666666666666E-2</v>
      </c>
      <c r="F703" s="5">
        <v>12.5</v>
      </c>
      <c r="G703" s="5">
        <v>0</v>
      </c>
      <c r="H703" s="5">
        <v>-2</v>
      </c>
      <c r="I703" s="5">
        <v>1.2</v>
      </c>
      <c r="J703" s="5">
        <v>0.5</v>
      </c>
      <c r="M703" s="5">
        <v>2</v>
      </c>
      <c r="N703" s="5">
        <v>1</v>
      </c>
      <c r="P703" s="5" t="s">
        <v>170</v>
      </c>
    </row>
    <row r="704" spans="1:16" s="5" customFormat="1" x14ac:dyDescent="0.25">
      <c r="A704" s="6">
        <v>45036</v>
      </c>
      <c r="B704" s="5">
        <v>86</v>
      </c>
      <c r="C704" s="5">
        <v>6</v>
      </c>
      <c r="D704" s="5">
        <f t="shared" si="24"/>
        <v>8.3333333333333332E-3</v>
      </c>
      <c r="E704" s="5">
        <f t="shared" si="25"/>
        <v>6.6666666666666666E-2</v>
      </c>
      <c r="F704" s="5">
        <v>12.5</v>
      </c>
      <c r="G704" s="5">
        <v>0</v>
      </c>
      <c r="H704" s="5">
        <v>-2</v>
      </c>
      <c r="I704" s="5">
        <v>1.2</v>
      </c>
      <c r="J704" s="5">
        <v>0.5</v>
      </c>
      <c r="M704" s="5">
        <v>2</v>
      </c>
      <c r="N704" s="5">
        <v>1</v>
      </c>
      <c r="P704" s="5" t="s">
        <v>311</v>
      </c>
    </row>
    <row r="705" spans="1:16" s="5" customFormat="1" x14ac:dyDescent="0.25">
      <c r="A705" s="6">
        <v>45036</v>
      </c>
      <c r="B705" s="5">
        <v>86</v>
      </c>
      <c r="C705" s="5">
        <v>9</v>
      </c>
      <c r="D705" s="5">
        <f t="shared" si="24"/>
        <v>8.3333333333333332E-3</v>
      </c>
      <c r="E705" s="5">
        <f t="shared" si="25"/>
        <v>6.6666666666666666E-2</v>
      </c>
      <c r="F705" s="5">
        <v>12.5</v>
      </c>
      <c r="G705" s="5">
        <v>0</v>
      </c>
      <c r="H705" s="5">
        <v>-2</v>
      </c>
      <c r="I705" s="5">
        <v>1.2</v>
      </c>
      <c r="J705" s="5">
        <v>0.5</v>
      </c>
      <c r="M705" s="5">
        <v>2</v>
      </c>
      <c r="N705" s="5">
        <v>1</v>
      </c>
      <c r="P705" s="5" t="s">
        <v>251</v>
      </c>
    </row>
    <row r="706" spans="1:16" s="5" customFormat="1" x14ac:dyDescent="0.25">
      <c r="A706" s="6">
        <v>45036</v>
      </c>
      <c r="B706" s="5">
        <v>86</v>
      </c>
      <c r="C706" s="5">
        <v>10</v>
      </c>
      <c r="D706" s="5">
        <f t="shared" si="24"/>
        <v>8.3333333333333332E-3</v>
      </c>
      <c r="E706" s="5">
        <f t="shared" si="25"/>
        <v>6.6666666666666666E-2</v>
      </c>
      <c r="F706" s="5">
        <v>12.5</v>
      </c>
      <c r="G706" s="5">
        <v>0</v>
      </c>
      <c r="H706" s="5">
        <v>-2</v>
      </c>
      <c r="I706" s="5">
        <v>1.2</v>
      </c>
      <c r="J706" s="5">
        <v>0.5</v>
      </c>
      <c r="M706" s="5">
        <v>2</v>
      </c>
      <c r="N706" s="5">
        <v>1</v>
      </c>
      <c r="P706" s="5" t="s">
        <v>252</v>
      </c>
    </row>
    <row r="707" spans="1:16" s="5" customFormat="1" x14ac:dyDescent="0.25">
      <c r="A707" s="6">
        <v>45037</v>
      </c>
      <c r="B707" s="5">
        <v>87</v>
      </c>
      <c r="C707" s="5">
        <v>2</v>
      </c>
      <c r="D707" s="5">
        <f t="shared" si="24"/>
        <v>8.3333333333333332E-3</v>
      </c>
      <c r="E707" s="5">
        <f t="shared" si="25"/>
        <v>6.6666666666666666E-2</v>
      </c>
      <c r="F707" s="5">
        <v>12.5</v>
      </c>
      <c r="G707" s="5">
        <v>0</v>
      </c>
      <c r="H707" s="5">
        <v>-2</v>
      </c>
      <c r="I707" s="5">
        <v>1.2</v>
      </c>
      <c r="J707" s="5">
        <v>0.5</v>
      </c>
      <c r="M707" s="5">
        <v>2</v>
      </c>
      <c r="N707" s="5">
        <v>1</v>
      </c>
      <c r="P707" s="5" t="s">
        <v>312</v>
      </c>
    </row>
    <row r="708" spans="1:16" s="5" customFormat="1" x14ac:dyDescent="0.25">
      <c r="A708" s="6">
        <v>45037</v>
      </c>
      <c r="B708" s="5">
        <v>87</v>
      </c>
      <c r="C708" s="5">
        <v>5</v>
      </c>
      <c r="D708" s="5">
        <f t="shared" si="24"/>
        <v>8.3333333333333332E-3</v>
      </c>
      <c r="E708" s="5">
        <f t="shared" si="25"/>
        <v>6.6666666666666666E-2</v>
      </c>
      <c r="F708" s="5">
        <v>12.5</v>
      </c>
      <c r="G708" s="5">
        <v>0</v>
      </c>
      <c r="H708" s="5">
        <v>-2</v>
      </c>
      <c r="I708" s="5">
        <v>1.2</v>
      </c>
      <c r="J708" s="5">
        <v>0.5</v>
      </c>
      <c r="M708" s="5">
        <v>2</v>
      </c>
      <c r="N708" s="5">
        <v>1</v>
      </c>
      <c r="P708" s="5" t="s">
        <v>257</v>
      </c>
    </row>
    <row r="709" spans="1:16" s="5" customFormat="1" x14ac:dyDescent="0.25">
      <c r="A709" s="6">
        <v>45037</v>
      </c>
      <c r="B709" s="5">
        <v>87</v>
      </c>
      <c r="C709" s="5">
        <v>6</v>
      </c>
      <c r="D709" s="5">
        <f t="shared" si="24"/>
        <v>8.3333333333333332E-3</v>
      </c>
      <c r="E709" s="5">
        <f t="shared" si="25"/>
        <v>6.6666666666666666E-2</v>
      </c>
      <c r="F709" s="5">
        <v>12.5</v>
      </c>
      <c r="G709" s="5">
        <v>0</v>
      </c>
      <c r="H709" s="5">
        <v>-2</v>
      </c>
      <c r="I709" s="5">
        <v>1.2</v>
      </c>
      <c r="J709" s="5">
        <v>0.5</v>
      </c>
      <c r="M709" s="5">
        <v>2</v>
      </c>
      <c r="N709" s="5">
        <v>1</v>
      </c>
      <c r="P709" s="5" t="s">
        <v>246</v>
      </c>
    </row>
    <row r="710" spans="1:16" s="5" customFormat="1" x14ac:dyDescent="0.25">
      <c r="A710" s="6">
        <v>45037</v>
      </c>
      <c r="B710" s="5">
        <v>87</v>
      </c>
      <c r="C710" s="5">
        <v>8</v>
      </c>
      <c r="D710" s="5">
        <f t="shared" si="24"/>
        <v>8.3333333333333332E-3</v>
      </c>
      <c r="E710" s="5">
        <f t="shared" si="25"/>
        <v>6.6666666666666666E-2</v>
      </c>
      <c r="F710" s="5">
        <v>12.5</v>
      </c>
      <c r="G710" s="5">
        <v>0</v>
      </c>
      <c r="H710" s="5">
        <v>-2</v>
      </c>
      <c r="I710" s="5">
        <v>1.2</v>
      </c>
      <c r="J710" s="5">
        <v>0.5</v>
      </c>
      <c r="M710" s="5">
        <v>2</v>
      </c>
      <c r="N710" s="5">
        <v>1</v>
      </c>
      <c r="P710" s="5" t="s">
        <v>170</v>
      </c>
    </row>
    <row r="711" spans="1:16" s="5" customFormat="1" x14ac:dyDescent="0.25">
      <c r="A711" s="6">
        <v>45037</v>
      </c>
      <c r="B711" s="5">
        <v>87</v>
      </c>
      <c r="C711" s="5">
        <v>10</v>
      </c>
      <c r="D711" s="5">
        <f t="shared" si="24"/>
        <v>8.3333333333333332E-3</v>
      </c>
      <c r="E711" s="5">
        <f t="shared" si="25"/>
        <v>6.6666666666666666E-2</v>
      </c>
      <c r="F711" s="5">
        <v>12.5</v>
      </c>
      <c r="G711" s="5">
        <v>0</v>
      </c>
      <c r="H711" s="5">
        <v>-2</v>
      </c>
      <c r="I711" s="5">
        <v>1.2</v>
      </c>
      <c r="J711" s="5">
        <v>0.5</v>
      </c>
      <c r="M711" s="5">
        <v>2</v>
      </c>
      <c r="N711" s="5">
        <v>1</v>
      </c>
      <c r="P711" s="5" t="s">
        <v>234</v>
      </c>
    </row>
    <row r="712" spans="1:16" s="5" customFormat="1" x14ac:dyDescent="0.25">
      <c r="A712" s="6">
        <v>45037</v>
      </c>
      <c r="B712" s="5">
        <v>87</v>
      </c>
      <c r="C712" s="5">
        <v>12</v>
      </c>
      <c r="D712" s="5">
        <f t="shared" si="24"/>
        <v>8.3333333333333332E-3</v>
      </c>
      <c r="E712" s="5">
        <f t="shared" si="25"/>
        <v>6.6666666666666666E-2</v>
      </c>
      <c r="F712" s="5">
        <v>12.5</v>
      </c>
      <c r="G712" s="5">
        <v>0</v>
      </c>
      <c r="H712" s="5">
        <v>-2</v>
      </c>
      <c r="I712" s="5">
        <v>1.2</v>
      </c>
      <c r="J712" s="5">
        <v>0.5</v>
      </c>
      <c r="M712" s="5">
        <v>2</v>
      </c>
      <c r="N712" s="5">
        <v>1</v>
      </c>
      <c r="P712" s="5" t="s">
        <v>199</v>
      </c>
    </row>
    <row r="713" spans="1:16" s="5" customFormat="1" x14ac:dyDescent="0.25">
      <c r="A713" s="6">
        <v>45037</v>
      </c>
      <c r="B713" s="5">
        <v>87</v>
      </c>
      <c r="C713" s="5">
        <v>14</v>
      </c>
      <c r="D713" s="5">
        <f t="shared" si="24"/>
        <v>8.3333333333333332E-3</v>
      </c>
      <c r="E713" s="5">
        <f t="shared" si="25"/>
        <v>6.6666666666666666E-2</v>
      </c>
      <c r="F713" s="5">
        <v>12.5</v>
      </c>
      <c r="G713" s="5">
        <v>0</v>
      </c>
      <c r="H713" s="5">
        <v>-2</v>
      </c>
      <c r="I713" s="5">
        <v>1.2</v>
      </c>
      <c r="J713" s="5">
        <v>0.5</v>
      </c>
      <c r="M713" s="5">
        <v>2</v>
      </c>
      <c r="N713" s="5">
        <v>1</v>
      </c>
      <c r="P713" s="5" t="s">
        <v>193</v>
      </c>
    </row>
    <row r="714" spans="1:16" s="5" customFormat="1" x14ac:dyDescent="0.25">
      <c r="A714" s="6">
        <v>45037</v>
      </c>
      <c r="B714" s="5">
        <v>87</v>
      </c>
      <c r="C714" s="5">
        <v>15</v>
      </c>
      <c r="D714" s="5">
        <f t="shared" si="24"/>
        <v>8.3333333333333332E-3</v>
      </c>
      <c r="E714" s="5">
        <f t="shared" si="25"/>
        <v>6.6666666666666666E-2</v>
      </c>
      <c r="F714" s="5">
        <v>12.5</v>
      </c>
      <c r="G714" s="5">
        <v>0</v>
      </c>
      <c r="H714" s="5">
        <v>-2</v>
      </c>
      <c r="I714" s="5">
        <v>1.2</v>
      </c>
      <c r="J714" s="5">
        <v>0.5</v>
      </c>
      <c r="M714" s="5">
        <v>2</v>
      </c>
      <c r="N714" s="5">
        <v>1</v>
      </c>
      <c r="P714" s="5" t="s">
        <v>200</v>
      </c>
    </row>
    <row r="715" spans="1:16" s="5" customFormat="1" x14ac:dyDescent="0.25">
      <c r="A715" s="6">
        <v>45037</v>
      </c>
      <c r="B715" s="5">
        <v>87</v>
      </c>
      <c r="C715" s="5">
        <v>16</v>
      </c>
      <c r="D715" s="5">
        <f t="shared" si="24"/>
        <v>8.3333333333333332E-3</v>
      </c>
      <c r="E715" s="5">
        <f t="shared" si="25"/>
        <v>6.6666666666666666E-2</v>
      </c>
      <c r="F715" s="5">
        <v>12.5</v>
      </c>
      <c r="G715" s="5">
        <v>0</v>
      </c>
      <c r="H715" s="5">
        <v>-2</v>
      </c>
      <c r="I715" s="5">
        <v>1.2</v>
      </c>
      <c r="J715" s="5">
        <v>0.5</v>
      </c>
      <c r="M715" s="5">
        <v>2</v>
      </c>
      <c r="N715" s="5">
        <v>1</v>
      </c>
      <c r="P715" s="5" t="s">
        <v>241</v>
      </c>
    </row>
    <row r="716" spans="1:16" s="5" customFormat="1" x14ac:dyDescent="0.25">
      <c r="A716" s="6">
        <v>45037</v>
      </c>
      <c r="B716" s="5">
        <v>87</v>
      </c>
      <c r="C716" s="5">
        <v>17</v>
      </c>
      <c r="D716" s="5">
        <f t="shared" si="24"/>
        <v>8.3333333333333332E-3</v>
      </c>
      <c r="E716" s="5">
        <f t="shared" si="25"/>
        <v>6.6666666666666666E-2</v>
      </c>
      <c r="F716" s="5">
        <v>12.5</v>
      </c>
      <c r="G716" s="5">
        <v>0</v>
      </c>
      <c r="H716" s="5">
        <v>-2</v>
      </c>
      <c r="I716" s="5">
        <v>1.2</v>
      </c>
      <c r="J716" s="5">
        <v>0.5</v>
      </c>
      <c r="M716" s="5">
        <v>2</v>
      </c>
      <c r="N716" s="5">
        <v>1</v>
      </c>
      <c r="P716" s="5" t="s">
        <v>334</v>
      </c>
    </row>
    <row r="717" spans="1:16" s="5" customFormat="1" x14ac:dyDescent="0.25">
      <c r="A717" s="6">
        <v>45037</v>
      </c>
      <c r="B717" s="5">
        <v>87</v>
      </c>
      <c r="C717" s="5">
        <v>19</v>
      </c>
      <c r="D717" s="5">
        <f t="shared" si="24"/>
        <v>8.3333333333333332E-3</v>
      </c>
      <c r="E717" s="5">
        <f t="shared" si="25"/>
        <v>6.6666666666666666E-2</v>
      </c>
      <c r="F717" s="5">
        <v>12.5</v>
      </c>
      <c r="G717" s="5">
        <v>0</v>
      </c>
      <c r="H717" s="5">
        <v>-2</v>
      </c>
      <c r="I717" s="5">
        <v>1.2</v>
      </c>
      <c r="J717" s="5">
        <v>0.5</v>
      </c>
      <c r="M717" s="5">
        <v>2</v>
      </c>
      <c r="N717" s="5">
        <v>1</v>
      </c>
      <c r="P717" s="5" t="s">
        <v>234</v>
      </c>
    </row>
    <row r="718" spans="1:16" s="5" customFormat="1" x14ac:dyDescent="0.25">
      <c r="A718" s="6">
        <v>45037</v>
      </c>
      <c r="B718" s="5">
        <v>87</v>
      </c>
      <c r="C718" s="5">
        <v>20</v>
      </c>
      <c r="D718" s="5">
        <f t="shared" si="24"/>
        <v>8.3333333333333332E-3</v>
      </c>
      <c r="E718" s="5">
        <f t="shared" si="25"/>
        <v>6.6666666666666666E-2</v>
      </c>
      <c r="F718" s="5">
        <v>12.5</v>
      </c>
      <c r="G718" s="5">
        <v>0</v>
      </c>
      <c r="H718" s="5">
        <v>-2</v>
      </c>
      <c r="I718" s="5">
        <v>1.2</v>
      </c>
      <c r="J718" s="5">
        <v>0.5</v>
      </c>
      <c r="M718" s="5">
        <v>2</v>
      </c>
      <c r="N718" s="5">
        <v>1</v>
      </c>
      <c r="P718" s="5" t="s">
        <v>254</v>
      </c>
    </row>
    <row r="719" spans="1:16" s="5" customFormat="1" x14ac:dyDescent="0.25">
      <c r="A719" s="6">
        <v>45037</v>
      </c>
      <c r="B719" s="5">
        <v>88</v>
      </c>
      <c r="C719" s="5">
        <v>22</v>
      </c>
      <c r="D719" s="5">
        <f t="shared" si="24"/>
        <v>8.3333333333333332E-3</v>
      </c>
      <c r="E719" s="5">
        <f t="shared" si="25"/>
        <v>6.6666666666666666E-2</v>
      </c>
      <c r="F719" s="5">
        <v>12.5</v>
      </c>
      <c r="G719" s="5">
        <v>0</v>
      </c>
      <c r="H719" s="5">
        <v>-2</v>
      </c>
      <c r="I719" s="5">
        <v>1.2</v>
      </c>
      <c r="J719" s="5">
        <v>0.5</v>
      </c>
      <c r="M719" s="5">
        <v>2</v>
      </c>
      <c r="N719" s="5">
        <v>1</v>
      </c>
      <c r="P719" s="5" t="s">
        <v>312</v>
      </c>
    </row>
    <row r="720" spans="1:16" s="5" customFormat="1" x14ac:dyDescent="0.25">
      <c r="A720" s="6">
        <v>45037</v>
      </c>
      <c r="B720" s="5">
        <v>88</v>
      </c>
      <c r="C720" s="5">
        <v>24</v>
      </c>
      <c r="D720" s="5">
        <f t="shared" si="24"/>
        <v>8.3333333333333332E-3</v>
      </c>
      <c r="E720" s="5">
        <f t="shared" si="25"/>
        <v>6.6666666666666666E-2</v>
      </c>
      <c r="F720" s="5">
        <v>12.5</v>
      </c>
      <c r="G720" s="5">
        <v>0</v>
      </c>
      <c r="H720" s="5">
        <v>-2</v>
      </c>
      <c r="I720" s="5">
        <v>1.2</v>
      </c>
      <c r="J720" s="5">
        <v>0.5</v>
      </c>
      <c r="M720" s="5">
        <v>2</v>
      </c>
      <c r="N720" s="5">
        <v>1</v>
      </c>
      <c r="P720" s="5" t="s">
        <v>257</v>
      </c>
    </row>
    <row r="721" spans="1:16" s="5" customFormat="1" x14ac:dyDescent="0.25">
      <c r="A721" s="6">
        <v>45037</v>
      </c>
      <c r="B721" s="5">
        <v>88</v>
      </c>
      <c r="C721" s="5">
        <v>25</v>
      </c>
      <c r="D721" s="5">
        <f t="shared" si="24"/>
        <v>8.3333333333333332E-3</v>
      </c>
      <c r="E721" s="5">
        <f t="shared" si="25"/>
        <v>6.6666666666666666E-2</v>
      </c>
      <c r="F721" s="5">
        <v>12.5</v>
      </c>
      <c r="G721" s="5">
        <v>0</v>
      </c>
      <c r="H721" s="5">
        <v>-2</v>
      </c>
      <c r="I721" s="5">
        <v>1.2</v>
      </c>
      <c r="J721" s="5">
        <v>0.5</v>
      </c>
      <c r="M721" s="5">
        <v>2</v>
      </c>
      <c r="N721" s="5">
        <v>1</v>
      </c>
      <c r="P721" s="5" t="s">
        <v>247</v>
      </c>
    </row>
    <row r="722" spans="1:16" s="5" customFormat="1" x14ac:dyDescent="0.25">
      <c r="A722" s="6">
        <v>45037</v>
      </c>
      <c r="B722" s="5">
        <v>88</v>
      </c>
      <c r="C722" s="5">
        <v>27</v>
      </c>
      <c r="D722" s="5">
        <f t="shared" si="24"/>
        <v>8.3333333333333332E-3</v>
      </c>
      <c r="E722" s="5">
        <f t="shared" si="25"/>
        <v>6.6666666666666666E-2</v>
      </c>
      <c r="F722" s="5">
        <v>12.5</v>
      </c>
      <c r="G722" s="5">
        <v>0</v>
      </c>
      <c r="H722" s="5">
        <v>-2</v>
      </c>
      <c r="I722" s="5">
        <v>1.2</v>
      </c>
      <c r="J722" s="5">
        <v>0.5</v>
      </c>
      <c r="M722" s="5">
        <v>2</v>
      </c>
      <c r="N722" s="5">
        <v>1</v>
      </c>
      <c r="P722" s="5" t="s">
        <v>234</v>
      </c>
    </row>
    <row r="723" spans="1:16" s="5" customFormat="1" x14ac:dyDescent="0.25">
      <c r="A723" s="6">
        <v>45037</v>
      </c>
      <c r="B723" s="5">
        <v>88</v>
      </c>
      <c r="C723" s="5">
        <v>28</v>
      </c>
      <c r="D723" s="5">
        <f t="shared" si="24"/>
        <v>8.3333333333333332E-3</v>
      </c>
      <c r="E723" s="5">
        <f t="shared" si="25"/>
        <v>6.6666666666666666E-2</v>
      </c>
      <c r="F723" s="5">
        <v>12.5</v>
      </c>
      <c r="G723" s="5">
        <v>0</v>
      </c>
      <c r="H723" s="5">
        <v>-2</v>
      </c>
      <c r="I723" s="5">
        <v>1.2</v>
      </c>
      <c r="J723" s="5">
        <v>0.5</v>
      </c>
      <c r="M723" s="5">
        <v>2</v>
      </c>
      <c r="N723" s="5">
        <v>1</v>
      </c>
      <c r="P723" s="5" t="s">
        <v>254</v>
      </c>
    </row>
    <row r="724" spans="1:16" s="5" customFormat="1" x14ac:dyDescent="0.25">
      <c r="A724" s="6">
        <v>45037</v>
      </c>
      <c r="B724" s="5">
        <v>88</v>
      </c>
      <c r="C724" s="5">
        <v>29</v>
      </c>
      <c r="D724" s="5">
        <f t="shared" si="24"/>
        <v>8.3333333333333332E-3</v>
      </c>
      <c r="E724" s="5">
        <f t="shared" si="25"/>
        <v>6.6666666666666666E-2</v>
      </c>
      <c r="F724" s="5">
        <v>12.5</v>
      </c>
      <c r="G724" s="5">
        <v>0</v>
      </c>
      <c r="H724" s="5">
        <v>-2</v>
      </c>
      <c r="I724" s="5">
        <v>1.2</v>
      </c>
      <c r="J724" s="5">
        <v>0.5</v>
      </c>
      <c r="M724" s="5">
        <v>2</v>
      </c>
      <c r="N724" s="5">
        <v>1</v>
      </c>
      <c r="P724" s="5" t="s">
        <v>199</v>
      </c>
    </row>
    <row r="725" spans="1:16" s="5" customFormat="1" x14ac:dyDescent="0.25">
      <c r="A725" s="6">
        <v>45037</v>
      </c>
      <c r="B725" s="5">
        <v>88</v>
      </c>
      <c r="C725" s="5">
        <v>32</v>
      </c>
      <c r="D725" s="5">
        <f t="shared" si="24"/>
        <v>8.3333333333333332E-3</v>
      </c>
      <c r="E725" s="5">
        <f t="shared" si="25"/>
        <v>6.6666666666666666E-2</v>
      </c>
      <c r="F725" s="5">
        <v>12.5</v>
      </c>
      <c r="G725" s="5">
        <v>0</v>
      </c>
      <c r="H725" s="5">
        <v>-2</v>
      </c>
      <c r="I725" s="5">
        <v>1.2</v>
      </c>
      <c r="J725" s="5">
        <v>0.5</v>
      </c>
      <c r="M725" s="5">
        <v>2</v>
      </c>
      <c r="N725" s="5">
        <v>1</v>
      </c>
      <c r="P725" s="5" t="s">
        <v>193</v>
      </c>
    </row>
    <row r="726" spans="1:16" s="5" customFormat="1" x14ac:dyDescent="0.25">
      <c r="A726" s="6">
        <v>45037</v>
      </c>
      <c r="B726" s="5">
        <v>88</v>
      </c>
      <c r="C726" s="5">
        <v>33</v>
      </c>
      <c r="D726" s="5">
        <f t="shared" si="24"/>
        <v>8.3333333333333332E-3</v>
      </c>
      <c r="E726" s="5">
        <f t="shared" si="25"/>
        <v>6.6666666666666666E-2</v>
      </c>
      <c r="F726" s="5">
        <v>12.5</v>
      </c>
      <c r="G726" s="5">
        <v>0</v>
      </c>
      <c r="H726" s="5">
        <v>-2</v>
      </c>
      <c r="I726" s="5">
        <v>1.2</v>
      </c>
      <c r="J726" s="5">
        <v>0.5</v>
      </c>
      <c r="M726" s="5">
        <v>2</v>
      </c>
      <c r="N726" s="5">
        <v>1</v>
      </c>
      <c r="P726" s="5" t="s">
        <v>200</v>
      </c>
    </row>
    <row r="727" spans="1:16" s="5" customFormat="1" x14ac:dyDescent="0.25">
      <c r="A727" s="6">
        <v>45037</v>
      </c>
      <c r="B727" s="5">
        <v>88</v>
      </c>
      <c r="C727" s="5">
        <v>34</v>
      </c>
      <c r="D727" s="5">
        <f t="shared" si="24"/>
        <v>8.3333333333333332E-3</v>
      </c>
      <c r="E727" s="5">
        <f t="shared" si="25"/>
        <v>6.6666666666666666E-2</v>
      </c>
      <c r="F727" s="5">
        <v>12.5</v>
      </c>
      <c r="G727" s="5">
        <v>0</v>
      </c>
      <c r="H727" s="5">
        <v>-2</v>
      </c>
      <c r="I727" s="5">
        <v>1.2</v>
      </c>
      <c r="J727" s="5">
        <v>0.5</v>
      </c>
      <c r="M727" s="5">
        <v>2</v>
      </c>
      <c r="N727" s="5">
        <v>1</v>
      </c>
      <c r="P727" s="5" t="s">
        <v>241</v>
      </c>
    </row>
    <row r="728" spans="1:16" s="5" customFormat="1" x14ac:dyDescent="0.25">
      <c r="A728" s="6">
        <v>45037</v>
      </c>
      <c r="B728" s="5">
        <v>88</v>
      </c>
      <c r="C728" s="5">
        <v>35</v>
      </c>
      <c r="D728" s="5">
        <f t="shared" si="24"/>
        <v>8.3333333333333332E-3</v>
      </c>
      <c r="E728" s="5">
        <f t="shared" si="25"/>
        <v>6.6666666666666666E-2</v>
      </c>
      <c r="F728" s="5">
        <v>12.5</v>
      </c>
      <c r="G728" s="5">
        <v>0</v>
      </c>
      <c r="H728" s="5">
        <v>-2</v>
      </c>
      <c r="I728" s="5">
        <v>1.2</v>
      </c>
      <c r="J728" s="5">
        <v>0.5</v>
      </c>
      <c r="M728" s="5">
        <v>2</v>
      </c>
      <c r="N728" s="5">
        <v>1</v>
      </c>
      <c r="P728" s="5" t="s">
        <v>170</v>
      </c>
    </row>
    <row r="729" spans="1:16" s="5" customFormat="1" x14ac:dyDescent="0.25">
      <c r="A729" s="6">
        <v>45037</v>
      </c>
      <c r="B729" s="5">
        <v>88</v>
      </c>
      <c r="C729" s="5">
        <v>37</v>
      </c>
      <c r="D729" s="5">
        <f t="shared" si="24"/>
        <v>8.3333333333333332E-3</v>
      </c>
      <c r="E729" s="5">
        <f t="shared" si="25"/>
        <v>6.6666666666666666E-2</v>
      </c>
      <c r="F729" s="5">
        <v>12.5</v>
      </c>
      <c r="G729" s="5">
        <v>0</v>
      </c>
      <c r="H729" s="5">
        <v>-2</v>
      </c>
      <c r="I729" s="5">
        <v>1.2</v>
      </c>
      <c r="J729" s="5">
        <v>0.5</v>
      </c>
      <c r="M729" s="5">
        <v>2</v>
      </c>
      <c r="N729" s="5">
        <v>1</v>
      </c>
      <c r="P729" s="5" t="s">
        <v>234</v>
      </c>
    </row>
    <row r="730" spans="1:16" s="5" customFormat="1" x14ac:dyDescent="0.25">
      <c r="A730" s="6">
        <v>45037</v>
      </c>
      <c r="B730" s="5">
        <v>88</v>
      </c>
      <c r="C730" s="5">
        <v>38</v>
      </c>
      <c r="D730" s="5">
        <f t="shared" si="24"/>
        <v>8.3333333333333332E-3</v>
      </c>
      <c r="E730" s="5">
        <f t="shared" si="25"/>
        <v>6.6666666666666666E-2</v>
      </c>
      <c r="F730" s="5">
        <v>12.5</v>
      </c>
      <c r="G730" s="5">
        <v>0</v>
      </c>
      <c r="H730" s="5">
        <v>-2</v>
      </c>
      <c r="I730" s="5">
        <v>1.2</v>
      </c>
      <c r="J730" s="5">
        <v>0.5</v>
      </c>
      <c r="M730" s="5">
        <v>2</v>
      </c>
      <c r="N730" s="5">
        <v>1</v>
      </c>
      <c r="P730" s="5" t="s">
        <v>253</v>
      </c>
    </row>
    <row r="731" spans="1:16" s="5" customFormat="1" x14ac:dyDescent="0.25">
      <c r="A731" s="6">
        <v>45037</v>
      </c>
      <c r="B731" s="5">
        <v>88</v>
      </c>
      <c r="C731" s="5">
        <v>39</v>
      </c>
      <c r="D731" s="5">
        <f t="shared" si="24"/>
        <v>8.3333333333333332E-3</v>
      </c>
      <c r="E731" s="5">
        <f t="shared" si="25"/>
        <v>6.6666666666666666E-2</v>
      </c>
      <c r="F731" s="5">
        <v>12.5</v>
      </c>
      <c r="G731" s="5">
        <v>0</v>
      </c>
      <c r="H731" s="5">
        <v>-2</v>
      </c>
      <c r="I731" s="5">
        <v>1.2</v>
      </c>
      <c r="J731" s="5">
        <v>0.5</v>
      </c>
      <c r="M731" s="5">
        <v>2</v>
      </c>
      <c r="N731" s="5">
        <v>1</v>
      </c>
      <c r="P731" s="5" t="s">
        <v>334</v>
      </c>
    </row>
    <row r="732" spans="1:16" s="5" customFormat="1" x14ac:dyDescent="0.25">
      <c r="A732" s="6">
        <v>45040</v>
      </c>
      <c r="B732" s="5">
        <v>89</v>
      </c>
      <c r="C732" s="5">
        <v>2</v>
      </c>
      <c r="D732" s="5">
        <v>0.01</v>
      </c>
      <c r="E732" s="5">
        <v>7.0000000000000007E-2</v>
      </c>
      <c r="F732" s="5">
        <v>12.5</v>
      </c>
      <c r="G732" s="5">
        <v>0</v>
      </c>
      <c r="H732" s="5">
        <v>-0.5</v>
      </c>
      <c r="I732" s="5">
        <v>1.1000000000000001</v>
      </c>
      <c r="J732" s="5">
        <v>1.4</v>
      </c>
      <c r="M732" s="5">
        <v>1</v>
      </c>
      <c r="N732" s="5">
        <v>1</v>
      </c>
      <c r="O732" s="5">
        <v>3</v>
      </c>
      <c r="P732" s="5" t="s">
        <v>263</v>
      </c>
    </row>
    <row r="733" spans="1:16" s="5" customFormat="1" x14ac:dyDescent="0.25">
      <c r="A733" s="6">
        <v>45040</v>
      </c>
      <c r="B733" s="5">
        <v>89</v>
      </c>
      <c r="C733" s="5">
        <v>3</v>
      </c>
      <c r="D733" s="5">
        <v>0.01</v>
      </c>
      <c r="E733" s="5">
        <v>7.0000000000000007E-2</v>
      </c>
      <c r="F733" s="5">
        <v>12.5</v>
      </c>
      <c r="G733" s="5">
        <v>0</v>
      </c>
      <c r="H733" s="5">
        <v>-0.5</v>
      </c>
      <c r="I733" s="5">
        <v>1.1000000000000001</v>
      </c>
      <c r="J733" s="5">
        <v>1.4</v>
      </c>
      <c r="M733" s="5">
        <v>1</v>
      </c>
      <c r="N733" s="5">
        <v>1</v>
      </c>
      <c r="O733" s="5">
        <v>3</v>
      </c>
      <c r="P733" s="5" t="s">
        <v>301</v>
      </c>
    </row>
    <row r="734" spans="1:16" s="5" customFormat="1" x14ac:dyDescent="0.25">
      <c r="A734" s="6">
        <v>45040</v>
      </c>
      <c r="B734" s="5">
        <v>89</v>
      </c>
      <c r="C734" s="5">
        <v>4</v>
      </c>
      <c r="D734" s="5">
        <v>0.01</v>
      </c>
      <c r="E734" s="5">
        <v>7.0000000000000007E-2</v>
      </c>
      <c r="F734" s="5">
        <v>12.5</v>
      </c>
      <c r="G734" s="5">
        <v>0</v>
      </c>
      <c r="H734" s="5">
        <v>-0.5</v>
      </c>
      <c r="I734" s="5">
        <v>1.1000000000000001</v>
      </c>
      <c r="J734" s="5">
        <v>1.4</v>
      </c>
      <c r="M734" s="5">
        <v>1</v>
      </c>
      <c r="N734" s="5">
        <v>1</v>
      </c>
      <c r="O734" s="5">
        <v>4</v>
      </c>
      <c r="P734" s="5" t="s">
        <v>264</v>
      </c>
    </row>
    <row r="735" spans="1:16" s="5" customFormat="1" x14ac:dyDescent="0.25">
      <c r="A735" s="6">
        <v>45040</v>
      </c>
      <c r="B735" s="5">
        <v>89</v>
      </c>
      <c r="C735" s="5">
        <v>5</v>
      </c>
      <c r="D735" s="5">
        <v>0.01</v>
      </c>
      <c r="E735" s="5">
        <v>7.0000000000000007E-2</v>
      </c>
      <c r="F735" s="5">
        <v>12.5</v>
      </c>
      <c r="G735" s="5">
        <v>0</v>
      </c>
      <c r="H735" s="5">
        <v>-0.5</v>
      </c>
      <c r="I735" s="5">
        <v>1.1000000000000001</v>
      </c>
      <c r="J735" s="5">
        <v>1.4</v>
      </c>
      <c r="M735" s="5">
        <v>1</v>
      </c>
      <c r="N735" s="5">
        <v>1</v>
      </c>
      <c r="O735" s="5">
        <v>4</v>
      </c>
      <c r="P735" s="5" t="s">
        <v>264</v>
      </c>
    </row>
    <row r="736" spans="1:16" s="5" customFormat="1" x14ac:dyDescent="0.25">
      <c r="A736" s="6">
        <v>45040</v>
      </c>
      <c r="B736" s="5">
        <v>89</v>
      </c>
      <c r="C736" s="5">
        <v>6</v>
      </c>
      <c r="D736" s="5">
        <v>0.01</v>
      </c>
      <c r="E736" s="5">
        <v>7.0000000000000007E-2</v>
      </c>
      <c r="F736" s="5">
        <v>12.5</v>
      </c>
      <c r="G736" s="5">
        <v>0</v>
      </c>
      <c r="H736" s="5">
        <v>-0.5</v>
      </c>
      <c r="I736" s="5">
        <v>1.1000000000000001</v>
      </c>
      <c r="J736" s="5">
        <v>1.4</v>
      </c>
      <c r="M736" s="5">
        <v>1</v>
      </c>
      <c r="N736" s="5">
        <v>1</v>
      </c>
      <c r="O736" s="5">
        <v>4</v>
      </c>
      <c r="P736" s="5" t="s">
        <v>265</v>
      </c>
    </row>
    <row r="737" spans="1:16" s="5" customFormat="1" x14ac:dyDescent="0.25">
      <c r="A737" s="6">
        <v>45040</v>
      </c>
      <c r="B737" s="5">
        <v>89</v>
      </c>
      <c r="C737" s="5">
        <v>7</v>
      </c>
      <c r="D737" s="5">
        <v>0.01</v>
      </c>
      <c r="E737" s="5">
        <v>7.0000000000000007E-2</v>
      </c>
      <c r="F737" s="5">
        <v>12.5</v>
      </c>
      <c r="G737" s="5">
        <v>0</v>
      </c>
      <c r="H737" s="5">
        <v>-0.5</v>
      </c>
      <c r="I737" s="5">
        <v>1.1000000000000001</v>
      </c>
      <c r="J737" s="5">
        <v>1.4</v>
      </c>
      <c r="M737" s="5">
        <v>1</v>
      </c>
      <c r="N737" s="5">
        <v>1</v>
      </c>
      <c r="O737" s="5">
        <v>4</v>
      </c>
      <c r="P737" s="5" t="s">
        <v>266</v>
      </c>
    </row>
    <row r="738" spans="1:16" s="5" customFormat="1" x14ac:dyDescent="0.25">
      <c r="A738" s="6">
        <v>45040</v>
      </c>
      <c r="B738" s="5">
        <v>89</v>
      </c>
      <c r="C738" s="5">
        <v>8</v>
      </c>
      <c r="D738" s="5">
        <v>0.01</v>
      </c>
      <c r="E738" s="5">
        <v>7.0000000000000007E-2</v>
      </c>
      <c r="F738" s="5">
        <v>12.5</v>
      </c>
      <c r="G738" s="5">
        <v>0</v>
      </c>
      <c r="H738" s="5">
        <v>-0.5</v>
      </c>
      <c r="I738" s="5">
        <v>1.1000000000000001</v>
      </c>
      <c r="J738" s="5">
        <v>1.4</v>
      </c>
      <c r="M738" s="5">
        <v>1</v>
      </c>
      <c r="N738" s="5">
        <v>1</v>
      </c>
      <c r="O738" s="5">
        <v>4</v>
      </c>
      <c r="P738" s="5" t="s">
        <v>264</v>
      </c>
    </row>
    <row r="739" spans="1:16" s="5" customFormat="1" x14ac:dyDescent="0.25">
      <c r="A739" s="6">
        <v>45040</v>
      </c>
      <c r="B739" s="5">
        <v>89</v>
      </c>
      <c r="C739" s="5">
        <v>9</v>
      </c>
      <c r="D739" s="5">
        <v>0.01</v>
      </c>
      <c r="E739" s="5">
        <v>7.0000000000000007E-2</v>
      </c>
      <c r="F739" s="5">
        <v>12.5</v>
      </c>
      <c r="G739" s="5">
        <v>0</v>
      </c>
      <c r="H739" s="5">
        <v>-0.5</v>
      </c>
      <c r="I739" s="5">
        <v>1.1000000000000001</v>
      </c>
      <c r="J739" s="5">
        <v>1.4</v>
      </c>
      <c r="M739" s="5">
        <v>1</v>
      </c>
      <c r="N739" s="5">
        <v>1</v>
      </c>
      <c r="O739" s="5">
        <v>4</v>
      </c>
      <c r="P739" s="5" t="s">
        <v>265</v>
      </c>
    </row>
    <row r="740" spans="1:16" s="5" customFormat="1" x14ac:dyDescent="0.25">
      <c r="A740" s="6">
        <v>45040</v>
      </c>
      <c r="B740" s="5">
        <v>89</v>
      </c>
      <c r="C740" s="5">
        <v>10</v>
      </c>
      <c r="D740" s="5">
        <v>0.01</v>
      </c>
      <c r="E740" s="5">
        <v>7.0000000000000007E-2</v>
      </c>
      <c r="F740" s="5">
        <v>12.5</v>
      </c>
      <c r="G740" s="5">
        <v>0</v>
      </c>
      <c r="H740" s="5">
        <v>-0.5</v>
      </c>
      <c r="I740" s="5">
        <v>1.1000000000000001</v>
      </c>
      <c r="J740" s="5">
        <v>1.4</v>
      </c>
      <c r="M740" s="5">
        <v>1</v>
      </c>
      <c r="N740" s="5">
        <v>1</v>
      </c>
      <c r="O740" s="5">
        <v>4</v>
      </c>
      <c r="P740" s="5" t="s">
        <v>266</v>
      </c>
    </row>
    <row r="741" spans="1:16" s="5" customFormat="1" x14ac:dyDescent="0.25">
      <c r="A741" s="6">
        <v>45040</v>
      </c>
      <c r="B741" s="5">
        <v>89</v>
      </c>
      <c r="C741" s="5">
        <v>11</v>
      </c>
      <c r="D741" s="5">
        <v>0.01</v>
      </c>
      <c r="E741" s="5">
        <v>7.0000000000000007E-2</v>
      </c>
      <c r="F741" s="5">
        <v>12.5</v>
      </c>
      <c r="G741" s="5">
        <v>0</v>
      </c>
      <c r="H741" s="5">
        <v>-0.5</v>
      </c>
      <c r="I741" s="5">
        <v>1.1000000000000001</v>
      </c>
      <c r="J741" s="5">
        <v>1.4</v>
      </c>
      <c r="M741" s="5">
        <v>1</v>
      </c>
      <c r="N741" s="5">
        <v>1</v>
      </c>
      <c r="O741" s="5">
        <v>3</v>
      </c>
      <c r="P741" s="5" t="s">
        <v>263</v>
      </c>
    </row>
    <row r="742" spans="1:16" s="5" customFormat="1" ht="15.75" customHeight="1" x14ac:dyDescent="0.25">
      <c r="A742" s="6">
        <v>45041</v>
      </c>
      <c r="B742" s="5">
        <v>90</v>
      </c>
      <c r="C742" s="5">
        <v>2</v>
      </c>
      <c r="D742" s="5">
        <v>0.01</v>
      </c>
      <c r="E742" s="5">
        <v>7.0000000000000007E-2</v>
      </c>
      <c r="F742" s="5">
        <v>12.5</v>
      </c>
      <c r="G742" s="5">
        <v>0</v>
      </c>
      <c r="H742" s="5">
        <v>-0.5</v>
      </c>
      <c r="I742" s="5">
        <v>1.1000000000000001</v>
      </c>
      <c r="J742" s="5">
        <v>1.4</v>
      </c>
      <c r="M742" s="5">
        <v>1</v>
      </c>
      <c r="N742" s="5">
        <v>1</v>
      </c>
      <c r="O742" s="5">
        <v>4</v>
      </c>
      <c r="P742" s="5" t="s">
        <v>301</v>
      </c>
    </row>
    <row r="743" spans="1:16" s="5" customFormat="1" ht="15.75" customHeight="1" x14ac:dyDescent="0.25">
      <c r="A743" s="6">
        <v>45041</v>
      </c>
      <c r="B743" s="5">
        <v>90</v>
      </c>
      <c r="C743" s="5">
        <v>3</v>
      </c>
      <c r="D743" s="5">
        <v>0.01</v>
      </c>
      <c r="E743" s="5">
        <v>7.0000000000000007E-2</v>
      </c>
      <c r="F743" s="5">
        <v>12.5</v>
      </c>
      <c r="G743" s="5">
        <v>0</v>
      </c>
      <c r="H743" s="5">
        <v>-0.5</v>
      </c>
      <c r="I743" s="5">
        <v>1.1000000000000001</v>
      </c>
      <c r="J743" s="5">
        <v>1.4</v>
      </c>
      <c r="M743" s="5">
        <v>1</v>
      </c>
      <c r="N743" s="5">
        <v>1</v>
      </c>
      <c r="O743" s="5">
        <v>3</v>
      </c>
      <c r="P743" s="5" t="s">
        <v>351</v>
      </c>
    </row>
    <row r="744" spans="1:16" s="5" customFormat="1" ht="15.75" customHeight="1" x14ac:dyDescent="0.25">
      <c r="A744" s="6">
        <v>45041</v>
      </c>
      <c r="B744" s="5">
        <v>90</v>
      </c>
      <c r="C744" s="5">
        <v>4</v>
      </c>
      <c r="D744" s="5">
        <v>0.01</v>
      </c>
      <c r="E744" s="5">
        <v>7.0000000000000007E-2</v>
      </c>
      <c r="F744" s="5">
        <v>12.5</v>
      </c>
      <c r="G744" s="5">
        <v>0</v>
      </c>
      <c r="H744" s="5">
        <v>-0.5</v>
      </c>
      <c r="I744" s="5">
        <v>1.1000000000000001</v>
      </c>
      <c r="J744" s="5">
        <v>1.4</v>
      </c>
      <c r="M744" s="5">
        <v>1</v>
      </c>
      <c r="N744" s="5">
        <v>1</v>
      </c>
      <c r="O744" s="5">
        <v>3</v>
      </c>
      <c r="P744" s="5" t="s">
        <v>349</v>
      </c>
    </row>
    <row r="745" spans="1:16" s="5" customFormat="1" ht="15.75" customHeight="1" x14ac:dyDescent="0.25">
      <c r="A745" s="6">
        <v>45041</v>
      </c>
      <c r="B745" s="5">
        <v>90</v>
      </c>
      <c r="C745" s="5">
        <v>5</v>
      </c>
      <c r="D745" s="5">
        <v>0.01</v>
      </c>
      <c r="E745" s="5">
        <v>7.0000000000000007E-2</v>
      </c>
      <c r="F745" s="5">
        <v>12.5</v>
      </c>
      <c r="G745" s="5">
        <v>0</v>
      </c>
      <c r="H745" s="5">
        <v>-0.5</v>
      </c>
      <c r="I745" s="5">
        <v>1.1000000000000001</v>
      </c>
      <c r="J745" s="5">
        <v>1.4</v>
      </c>
      <c r="M745" s="5">
        <v>1</v>
      </c>
      <c r="N745" s="5">
        <v>1</v>
      </c>
      <c r="O745" s="5">
        <v>2</v>
      </c>
      <c r="P745" s="5" t="s">
        <v>352</v>
      </c>
    </row>
    <row r="746" spans="1:16" s="5" customFormat="1" ht="15.75" customHeight="1" x14ac:dyDescent="0.25">
      <c r="A746" s="6">
        <v>45041</v>
      </c>
      <c r="B746" s="5">
        <v>90</v>
      </c>
      <c r="C746" s="5">
        <v>6</v>
      </c>
      <c r="D746" s="5">
        <v>0.01</v>
      </c>
      <c r="E746" s="5">
        <v>7.0000000000000007E-2</v>
      </c>
      <c r="F746" s="5">
        <v>12.5</v>
      </c>
      <c r="G746" s="5">
        <v>0</v>
      </c>
      <c r="H746" s="5">
        <v>-0.5</v>
      </c>
      <c r="I746" s="5">
        <v>1.1000000000000001</v>
      </c>
      <c r="J746" s="5">
        <v>1.4</v>
      </c>
      <c r="M746" s="5">
        <v>1</v>
      </c>
      <c r="N746" s="5">
        <v>1</v>
      </c>
      <c r="O746" s="5">
        <v>2</v>
      </c>
      <c r="P746" s="5" t="s">
        <v>359</v>
      </c>
    </row>
    <row r="747" spans="1:16" s="5" customFormat="1" ht="15.75" customHeight="1" x14ac:dyDescent="0.25">
      <c r="A747" s="6">
        <v>45041</v>
      </c>
      <c r="B747" s="5">
        <v>90</v>
      </c>
      <c r="C747" s="5">
        <v>7</v>
      </c>
      <c r="D747" s="5">
        <v>0.01</v>
      </c>
      <c r="E747" s="5">
        <v>7.0000000000000007E-2</v>
      </c>
      <c r="F747" s="5">
        <v>12.5</v>
      </c>
      <c r="G747" s="5">
        <v>0</v>
      </c>
      <c r="H747" s="5">
        <v>-0.5</v>
      </c>
      <c r="I747" s="5">
        <v>1.1000000000000001</v>
      </c>
      <c r="J747" s="5">
        <v>1.4</v>
      </c>
      <c r="M747" s="5">
        <v>1</v>
      </c>
      <c r="N747" s="5">
        <v>1</v>
      </c>
      <c r="O747" s="5">
        <v>2</v>
      </c>
      <c r="P747" s="5" t="s">
        <v>319</v>
      </c>
    </row>
    <row r="748" spans="1:16" s="5" customFormat="1" ht="15.75" customHeight="1" x14ac:dyDescent="0.25">
      <c r="A748" s="6">
        <v>45041</v>
      </c>
      <c r="B748" s="5">
        <v>90</v>
      </c>
      <c r="C748" s="5">
        <v>8</v>
      </c>
      <c r="D748" s="5">
        <v>0.01</v>
      </c>
      <c r="E748" s="5">
        <v>7.0000000000000007E-2</v>
      </c>
      <c r="F748" s="5">
        <v>12.5</v>
      </c>
      <c r="G748" s="5">
        <v>0</v>
      </c>
      <c r="H748" s="5">
        <v>-0.5</v>
      </c>
      <c r="I748" s="5">
        <v>1.1000000000000001</v>
      </c>
      <c r="J748" s="5">
        <v>1.4</v>
      </c>
      <c r="M748" s="5">
        <v>1</v>
      </c>
      <c r="N748" s="5">
        <v>1</v>
      </c>
      <c r="O748" s="5">
        <v>1.5</v>
      </c>
      <c r="P748" s="5" t="s">
        <v>269</v>
      </c>
    </row>
    <row r="749" spans="1:16" s="5" customFormat="1" ht="15.75" customHeight="1" x14ac:dyDescent="0.25">
      <c r="A749" s="6">
        <v>45041</v>
      </c>
      <c r="B749" s="5">
        <v>90</v>
      </c>
      <c r="C749" s="5">
        <v>9</v>
      </c>
      <c r="D749" s="5">
        <v>0.01</v>
      </c>
      <c r="E749" s="5">
        <v>7.0000000000000007E-2</v>
      </c>
      <c r="F749" s="5">
        <v>12.5</v>
      </c>
      <c r="G749" s="5">
        <v>0</v>
      </c>
      <c r="H749" s="5">
        <v>-0.5</v>
      </c>
      <c r="I749" s="5">
        <v>1.1000000000000001</v>
      </c>
      <c r="J749" s="5">
        <v>1.4</v>
      </c>
      <c r="M749" s="5">
        <v>1</v>
      </c>
      <c r="N749" s="5">
        <v>1</v>
      </c>
      <c r="O749" s="5">
        <v>2</v>
      </c>
      <c r="P749" s="5" t="s">
        <v>270</v>
      </c>
    </row>
    <row r="750" spans="1:16" s="5" customFormat="1" ht="15.75" customHeight="1" x14ac:dyDescent="0.25">
      <c r="A750" s="6">
        <v>45041</v>
      </c>
      <c r="B750" s="5">
        <v>90</v>
      </c>
      <c r="C750" s="5">
        <v>10</v>
      </c>
      <c r="D750" s="5">
        <v>0.01</v>
      </c>
      <c r="E750" s="5">
        <v>7.0000000000000007E-2</v>
      </c>
      <c r="F750" s="5">
        <v>12.5</v>
      </c>
      <c r="G750" s="5">
        <v>0</v>
      </c>
      <c r="H750" s="5">
        <v>-0.5</v>
      </c>
      <c r="I750" s="5">
        <v>1.1000000000000001</v>
      </c>
      <c r="J750" s="5">
        <v>1.4</v>
      </c>
      <c r="M750" s="5">
        <v>1</v>
      </c>
      <c r="N750" s="5">
        <v>1</v>
      </c>
      <c r="O750" s="5">
        <v>3</v>
      </c>
      <c r="P750" s="5" t="s">
        <v>320</v>
      </c>
    </row>
    <row r="751" spans="1:16" s="5" customFormat="1" ht="15.75" customHeight="1" x14ac:dyDescent="0.25">
      <c r="A751" s="6">
        <v>45041</v>
      </c>
      <c r="B751" s="5">
        <v>90</v>
      </c>
      <c r="C751" s="5">
        <v>11</v>
      </c>
      <c r="D751" s="5">
        <v>0.01</v>
      </c>
      <c r="E751" s="5">
        <v>7.0000000000000007E-2</v>
      </c>
      <c r="F751" s="5">
        <v>12.5</v>
      </c>
      <c r="G751" s="5">
        <v>0</v>
      </c>
      <c r="H751" s="5">
        <v>-0.5</v>
      </c>
      <c r="I751" s="5">
        <v>1.1000000000000001</v>
      </c>
      <c r="J751" s="5">
        <v>1.4</v>
      </c>
      <c r="M751" s="5">
        <v>1</v>
      </c>
      <c r="N751" s="5">
        <v>1</v>
      </c>
      <c r="O751" s="5">
        <v>3</v>
      </c>
      <c r="P751" s="5" t="s">
        <v>321</v>
      </c>
    </row>
    <row r="752" spans="1:16" s="5" customFormat="1" ht="15.75" customHeight="1" x14ac:dyDescent="0.25">
      <c r="A752" s="6">
        <v>45041</v>
      </c>
      <c r="B752" s="5">
        <v>90</v>
      </c>
      <c r="C752" s="5">
        <v>12</v>
      </c>
      <c r="D752" s="5">
        <v>0.01</v>
      </c>
      <c r="E752" s="5">
        <v>7.0000000000000007E-2</v>
      </c>
      <c r="F752" s="5">
        <v>12.5</v>
      </c>
      <c r="G752" s="5">
        <v>0</v>
      </c>
      <c r="H752" s="5">
        <v>-0.5</v>
      </c>
      <c r="I752" s="5">
        <v>1.1000000000000001</v>
      </c>
      <c r="J752" s="5">
        <v>1.4</v>
      </c>
      <c r="M752" s="5">
        <v>1</v>
      </c>
      <c r="N752" s="5">
        <v>1</v>
      </c>
      <c r="O752" s="5">
        <v>2</v>
      </c>
      <c r="P752" s="5" t="s">
        <v>267</v>
      </c>
    </row>
    <row r="753" spans="1:16" s="5" customFormat="1" ht="15.75" customHeight="1" x14ac:dyDescent="0.25">
      <c r="A753" s="6">
        <v>45041</v>
      </c>
      <c r="B753" s="5">
        <v>90</v>
      </c>
      <c r="C753" s="5">
        <v>13</v>
      </c>
      <c r="D753" s="5">
        <v>0.01</v>
      </c>
      <c r="E753" s="5">
        <v>7.0000000000000007E-2</v>
      </c>
      <c r="F753" s="5">
        <v>12.5</v>
      </c>
      <c r="G753" s="5">
        <v>0</v>
      </c>
      <c r="H753" s="5">
        <v>-0.5</v>
      </c>
      <c r="I753" s="5">
        <v>1.1000000000000001</v>
      </c>
      <c r="J753" s="5">
        <v>1.4</v>
      </c>
      <c r="M753" s="5">
        <v>1</v>
      </c>
      <c r="N753" s="5">
        <v>1</v>
      </c>
      <c r="O753" s="5">
        <v>3</v>
      </c>
      <c r="P753" s="5" t="s">
        <v>273</v>
      </c>
    </row>
    <row r="754" spans="1:16" s="5" customFormat="1" ht="15.75" customHeight="1" x14ac:dyDescent="0.25">
      <c r="A754" s="6">
        <v>45041</v>
      </c>
      <c r="B754" s="5">
        <v>90</v>
      </c>
      <c r="C754" s="5">
        <v>14</v>
      </c>
      <c r="D754" s="5">
        <v>0.01</v>
      </c>
      <c r="E754" s="5">
        <v>7.0000000000000007E-2</v>
      </c>
      <c r="F754" s="5">
        <v>12.5</v>
      </c>
      <c r="G754" s="5">
        <v>0</v>
      </c>
      <c r="H754" s="5">
        <v>-0.5</v>
      </c>
      <c r="I754" s="5">
        <v>1.1000000000000001</v>
      </c>
      <c r="J754" s="5">
        <v>1.4</v>
      </c>
      <c r="M754" s="5">
        <v>1</v>
      </c>
      <c r="N754" s="5">
        <v>1</v>
      </c>
      <c r="O754" s="5">
        <v>3</v>
      </c>
      <c r="P754" s="5" t="s">
        <v>274</v>
      </c>
    </row>
    <row r="755" spans="1:16" s="5" customFormat="1" ht="15.75" customHeight="1" x14ac:dyDescent="0.25">
      <c r="A755" s="6">
        <v>45041</v>
      </c>
      <c r="B755" s="5">
        <v>90</v>
      </c>
      <c r="C755" s="5">
        <v>15</v>
      </c>
      <c r="D755" s="5">
        <v>0.01</v>
      </c>
      <c r="E755" s="5">
        <v>7.0000000000000007E-2</v>
      </c>
      <c r="F755" s="5">
        <v>12.5</v>
      </c>
      <c r="G755" s="5">
        <v>0</v>
      </c>
      <c r="H755" s="5">
        <v>-0.5</v>
      </c>
      <c r="I755" s="5">
        <v>1.1000000000000001</v>
      </c>
      <c r="J755" s="5">
        <v>1.4</v>
      </c>
      <c r="M755" s="5">
        <v>1</v>
      </c>
      <c r="N755" s="5">
        <v>1</v>
      </c>
      <c r="O755" s="5">
        <v>3</v>
      </c>
      <c r="P755" s="5" t="s">
        <v>275</v>
      </c>
    </row>
    <row r="756" spans="1:16" s="5" customFormat="1" ht="15.75" customHeight="1" x14ac:dyDescent="0.25">
      <c r="A756" s="6">
        <v>45041</v>
      </c>
      <c r="B756" s="5">
        <v>90</v>
      </c>
      <c r="C756" s="5">
        <v>16</v>
      </c>
      <c r="D756" s="5">
        <v>0.01</v>
      </c>
      <c r="E756" s="5">
        <v>7.0000000000000007E-2</v>
      </c>
      <c r="F756" s="5">
        <v>12.5</v>
      </c>
      <c r="G756" s="5">
        <v>0</v>
      </c>
      <c r="H756" s="5">
        <v>-0.5</v>
      </c>
      <c r="I756" s="5">
        <v>1.1000000000000001</v>
      </c>
      <c r="J756" s="5">
        <v>1.4</v>
      </c>
      <c r="M756" s="5">
        <v>1</v>
      </c>
      <c r="N756" s="5">
        <v>1</v>
      </c>
      <c r="O756" s="5">
        <v>3</v>
      </c>
      <c r="P756" s="5" t="s">
        <v>276</v>
      </c>
    </row>
    <row r="757" spans="1:16" s="5" customFormat="1" ht="15.75" customHeight="1" x14ac:dyDescent="0.25">
      <c r="A757" s="6">
        <v>45041</v>
      </c>
      <c r="B757" s="5">
        <v>90</v>
      </c>
      <c r="C757" s="5">
        <v>17</v>
      </c>
      <c r="D757" s="5">
        <v>0.01</v>
      </c>
      <c r="E757" s="5">
        <v>7.0000000000000007E-2</v>
      </c>
      <c r="F757" s="5">
        <v>12.5</v>
      </c>
      <c r="G757" s="5">
        <v>0</v>
      </c>
      <c r="H757" s="5">
        <v>-0.5</v>
      </c>
      <c r="I757" s="5">
        <v>1.1000000000000001</v>
      </c>
      <c r="J757" s="5">
        <v>1.4</v>
      </c>
      <c r="M757" s="5">
        <v>1</v>
      </c>
      <c r="N757" s="5">
        <v>1</v>
      </c>
      <c r="O757" s="5">
        <v>3</v>
      </c>
      <c r="P757" s="5" t="s">
        <v>277</v>
      </c>
    </row>
    <row r="758" spans="1:16" s="5" customFormat="1" ht="15.75" customHeight="1" x14ac:dyDescent="0.25">
      <c r="A758" s="6">
        <v>45041</v>
      </c>
      <c r="B758" s="5">
        <v>91</v>
      </c>
      <c r="C758" s="5">
        <v>20</v>
      </c>
      <c r="D758" s="5">
        <v>0.01</v>
      </c>
      <c r="E758" s="5">
        <v>7.0000000000000007E-2</v>
      </c>
      <c r="F758" s="5">
        <v>12.5</v>
      </c>
      <c r="G758" s="5">
        <v>0</v>
      </c>
      <c r="H758" s="5">
        <v>-0.5</v>
      </c>
      <c r="I758" s="5">
        <v>1.1000000000000001</v>
      </c>
      <c r="J758" s="5">
        <v>1.4</v>
      </c>
      <c r="M758" s="5">
        <v>1</v>
      </c>
      <c r="N758" s="5">
        <v>1</v>
      </c>
      <c r="O758" s="5">
        <v>3</v>
      </c>
      <c r="P758" s="5" t="s">
        <v>353</v>
      </c>
    </row>
    <row r="759" spans="1:16" s="5" customFormat="1" ht="15.75" customHeight="1" x14ac:dyDescent="0.25">
      <c r="A759" s="6">
        <v>45041</v>
      </c>
      <c r="B759" s="5">
        <v>91</v>
      </c>
      <c r="C759" s="5">
        <v>21</v>
      </c>
      <c r="D759" s="5">
        <v>0.01</v>
      </c>
      <c r="E759" s="5">
        <v>7.0000000000000007E-2</v>
      </c>
      <c r="F759" s="5">
        <v>12.5</v>
      </c>
      <c r="G759" s="5">
        <v>0</v>
      </c>
      <c r="H759" s="5">
        <v>-0.5</v>
      </c>
      <c r="I759" s="5">
        <v>1.1000000000000001</v>
      </c>
      <c r="J759" s="5">
        <v>1.4</v>
      </c>
      <c r="M759" s="5">
        <v>1</v>
      </c>
      <c r="N759" s="5">
        <v>1</v>
      </c>
      <c r="O759" s="5">
        <v>3</v>
      </c>
      <c r="P759" s="5" t="s">
        <v>359</v>
      </c>
    </row>
    <row r="760" spans="1:16" s="5" customFormat="1" ht="15.75" customHeight="1" x14ac:dyDescent="0.25">
      <c r="A760" s="6">
        <v>45041</v>
      </c>
      <c r="B760" s="5">
        <v>91</v>
      </c>
      <c r="C760" s="5">
        <v>22</v>
      </c>
      <c r="D760" s="5">
        <v>0.01</v>
      </c>
      <c r="E760" s="5">
        <v>7.0000000000000007E-2</v>
      </c>
      <c r="F760" s="5">
        <v>12.5</v>
      </c>
      <c r="G760" s="5">
        <v>0</v>
      </c>
      <c r="H760" s="5">
        <v>-0.5</v>
      </c>
      <c r="I760" s="5">
        <v>1.1000000000000001</v>
      </c>
      <c r="J760" s="5">
        <v>1.4</v>
      </c>
      <c r="M760" s="5">
        <v>1</v>
      </c>
      <c r="N760" s="5">
        <v>1</v>
      </c>
      <c r="O760" s="5">
        <v>3</v>
      </c>
      <c r="P760" s="5" t="s">
        <v>354</v>
      </c>
    </row>
    <row r="761" spans="1:16" s="5" customFormat="1" ht="15.75" customHeight="1" x14ac:dyDescent="0.25">
      <c r="A761" s="6">
        <v>45041</v>
      </c>
      <c r="B761" s="5">
        <v>91</v>
      </c>
      <c r="C761" s="5">
        <v>23</v>
      </c>
      <c r="D761" s="5">
        <v>0.01</v>
      </c>
      <c r="E761" s="5">
        <v>7.0000000000000007E-2</v>
      </c>
      <c r="F761" s="5">
        <v>12.5</v>
      </c>
      <c r="G761" s="5">
        <v>0</v>
      </c>
      <c r="H761" s="5">
        <v>-0.5</v>
      </c>
      <c r="I761" s="5">
        <v>1.1000000000000001</v>
      </c>
      <c r="J761" s="5">
        <v>1.4</v>
      </c>
      <c r="M761" s="5">
        <v>1</v>
      </c>
      <c r="N761" s="5">
        <v>1</v>
      </c>
      <c r="O761" s="5">
        <v>3</v>
      </c>
      <c r="P761" s="5" t="s">
        <v>350</v>
      </c>
    </row>
    <row r="762" spans="1:16" s="5" customFormat="1" ht="15.75" customHeight="1" x14ac:dyDescent="0.25">
      <c r="A762" s="6">
        <v>45041</v>
      </c>
      <c r="B762" s="5">
        <v>91</v>
      </c>
      <c r="C762" s="5">
        <v>24</v>
      </c>
      <c r="D762" s="5">
        <v>0.01</v>
      </c>
      <c r="E762" s="5">
        <v>7.0000000000000007E-2</v>
      </c>
      <c r="F762" s="5">
        <v>12.5</v>
      </c>
      <c r="G762" s="5">
        <v>0</v>
      </c>
      <c r="H762" s="5">
        <v>-0.5</v>
      </c>
      <c r="I762" s="5">
        <v>1.1000000000000001</v>
      </c>
      <c r="J762" s="5">
        <v>1.4</v>
      </c>
      <c r="M762" s="5">
        <v>1</v>
      </c>
      <c r="N762" s="5">
        <v>1</v>
      </c>
      <c r="O762" s="5">
        <v>3</v>
      </c>
      <c r="P762" s="5" t="s">
        <v>325</v>
      </c>
    </row>
    <row r="763" spans="1:16" s="5" customFormat="1" ht="15.75" customHeight="1" x14ac:dyDescent="0.25">
      <c r="A763" s="6">
        <v>45041</v>
      </c>
      <c r="B763" s="5">
        <v>91</v>
      </c>
      <c r="C763" s="5">
        <v>25</v>
      </c>
      <c r="D763" s="5">
        <v>0.01</v>
      </c>
      <c r="E763" s="5">
        <v>7.0000000000000007E-2</v>
      </c>
      <c r="F763" s="5">
        <v>12.5</v>
      </c>
      <c r="G763" s="5">
        <v>0</v>
      </c>
      <c r="H763" s="5">
        <v>-0.5</v>
      </c>
      <c r="I763" s="5">
        <v>1.1000000000000001</v>
      </c>
      <c r="J763" s="5">
        <v>1.4</v>
      </c>
      <c r="M763" s="5">
        <v>1</v>
      </c>
      <c r="N763" s="5">
        <v>1</v>
      </c>
      <c r="O763" s="5">
        <v>3</v>
      </c>
      <c r="P763" s="5" t="s">
        <v>278</v>
      </c>
    </row>
    <row r="764" spans="1:16" s="5" customFormat="1" ht="15.75" customHeight="1" x14ac:dyDescent="0.25">
      <c r="A764" s="6">
        <v>45041</v>
      </c>
      <c r="B764" s="5">
        <v>91</v>
      </c>
      <c r="C764" s="5">
        <v>26</v>
      </c>
      <c r="D764" s="5">
        <v>0.01</v>
      </c>
      <c r="E764" s="5">
        <v>7.0000000000000007E-2</v>
      </c>
      <c r="F764" s="5">
        <v>12.5</v>
      </c>
      <c r="G764" s="5">
        <v>0</v>
      </c>
      <c r="H764" s="5">
        <v>-0.5</v>
      </c>
      <c r="I764" s="5">
        <v>1.1000000000000001</v>
      </c>
      <c r="J764" s="5">
        <v>1.4</v>
      </c>
      <c r="M764" s="5">
        <v>1</v>
      </c>
      <c r="N764" s="5">
        <v>1</v>
      </c>
      <c r="O764" s="5">
        <v>3</v>
      </c>
      <c r="P764" s="5" t="s">
        <v>279</v>
      </c>
    </row>
    <row r="765" spans="1:16" s="5" customFormat="1" ht="15.75" customHeight="1" x14ac:dyDescent="0.25">
      <c r="A765" s="6">
        <v>45041</v>
      </c>
      <c r="B765" s="5">
        <v>91</v>
      </c>
      <c r="C765" s="5">
        <v>27</v>
      </c>
      <c r="D765" s="5">
        <v>0.01</v>
      </c>
      <c r="E765" s="5">
        <v>7.0000000000000007E-2</v>
      </c>
      <c r="F765" s="5">
        <v>12.5</v>
      </c>
      <c r="G765" s="5">
        <v>0</v>
      </c>
      <c r="H765" s="5">
        <v>-0.5</v>
      </c>
      <c r="I765" s="5">
        <v>1.1000000000000001</v>
      </c>
      <c r="J765" s="5">
        <v>1.4</v>
      </c>
      <c r="M765" s="5">
        <v>1</v>
      </c>
      <c r="N765" s="5">
        <v>1</v>
      </c>
      <c r="O765" s="5">
        <v>3</v>
      </c>
      <c r="P765" s="5" t="s">
        <v>327</v>
      </c>
    </row>
    <row r="766" spans="1:16" s="5" customFormat="1" ht="15.75" customHeight="1" x14ac:dyDescent="0.25">
      <c r="A766" s="6">
        <v>45041</v>
      </c>
      <c r="B766" s="5">
        <v>91</v>
      </c>
      <c r="C766" s="5">
        <v>28</v>
      </c>
      <c r="D766" s="5">
        <v>0.01</v>
      </c>
      <c r="E766" s="5">
        <v>7.0000000000000007E-2</v>
      </c>
      <c r="F766" s="5">
        <v>12.5</v>
      </c>
      <c r="G766" s="5">
        <v>0</v>
      </c>
      <c r="H766" s="5">
        <v>-0.5</v>
      </c>
      <c r="I766" s="5">
        <v>1.1000000000000001</v>
      </c>
      <c r="J766" s="5">
        <v>1.4</v>
      </c>
      <c r="M766" s="5">
        <v>1</v>
      </c>
      <c r="N766" s="5">
        <v>1</v>
      </c>
      <c r="O766" s="5">
        <v>3</v>
      </c>
      <c r="P766" s="5" t="s">
        <v>326</v>
      </c>
    </row>
    <row r="767" spans="1:16" s="5" customFormat="1" ht="15.75" customHeight="1" x14ac:dyDescent="0.25">
      <c r="A767" s="6">
        <v>45041</v>
      </c>
      <c r="B767" s="5">
        <v>91</v>
      </c>
      <c r="C767" s="5">
        <v>29</v>
      </c>
      <c r="D767" s="5">
        <v>0.01</v>
      </c>
      <c r="E767" s="5">
        <v>7.0000000000000007E-2</v>
      </c>
      <c r="F767" s="5">
        <v>12.5</v>
      </c>
      <c r="G767" s="5">
        <v>0</v>
      </c>
      <c r="H767" s="5">
        <v>-0.5</v>
      </c>
      <c r="I767" s="5">
        <v>1.1000000000000001</v>
      </c>
      <c r="J767" s="5">
        <v>1.4</v>
      </c>
      <c r="M767" s="5">
        <v>1</v>
      </c>
      <c r="N767" s="5">
        <v>1</v>
      </c>
      <c r="O767" s="5">
        <v>3</v>
      </c>
      <c r="P767" s="5" t="s">
        <v>322</v>
      </c>
    </row>
    <row r="768" spans="1:16" s="5" customFormat="1" ht="15.75" customHeight="1" x14ac:dyDescent="0.25">
      <c r="A768" s="6">
        <v>45041</v>
      </c>
      <c r="B768" s="5">
        <v>91</v>
      </c>
      <c r="C768" s="5">
        <v>30</v>
      </c>
      <c r="D768" s="5">
        <v>0.01</v>
      </c>
      <c r="E768" s="5">
        <v>7.0000000000000007E-2</v>
      </c>
      <c r="F768" s="5">
        <v>12.5</v>
      </c>
      <c r="G768" s="5">
        <v>0</v>
      </c>
      <c r="H768" s="5">
        <v>-0.5</v>
      </c>
      <c r="I768" s="5">
        <v>1.1000000000000001</v>
      </c>
      <c r="J768" s="5">
        <v>1.4</v>
      </c>
      <c r="M768" s="5">
        <v>1</v>
      </c>
      <c r="N768" s="5">
        <v>1</v>
      </c>
      <c r="O768" s="5">
        <v>3</v>
      </c>
      <c r="P768" s="5" t="s">
        <v>280</v>
      </c>
    </row>
    <row r="769" spans="1:16" s="5" customFormat="1" ht="15.75" customHeight="1" x14ac:dyDescent="0.25">
      <c r="A769" s="6">
        <v>45041</v>
      </c>
      <c r="B769" s="5">
        <v>91</v>
      </c>
      <c r="C769" s="5">
        <v>31</v>
      </c>
      <c r="D769" s="5">
        <v>0.01</v>
      </c>
      <c r="E769" s="5">
        <v>7.0000000000000007E-2</v>
      </c>
      <c r="F769" s="5">
        <v>12.5</v>
      </c>
      <c r="G769" s="5">
        <v>0</v>
      </c>
      <c r="H769" s="5">
        <v>-0.5</v>
      </c>
      <c r="I769" s="5">
        <v>1.1000000000000001</v>
      </c>
      <c r="J769" s="5">
        <v>1.4</v>
      </c>
      <c r="M769" s="5">
        <v>1</v>
      </c>
      <c r="N769" s="5">
        <v>1</v>
      </c>
      <c r="O769" s="5">
        <v>3</v>
      </c>
      <c r="P769" s="5" t="s">
        <v>281</v>
      </c>
    </row>
    <row r="770" spans="1:16" s="5" customFormat="1" ht="15.75" customHeight="1" x14ac:dyDescent="0.25">
      <c r="A770" s="6">
        <v>45041</v>
      </c>
      <c r="B770" s="5">
        <v>91</v>
      </c>
      <c r="C770" s="5">
        <v>32</v>
      </c>
      <c r="D770" s="5">
        <v>0.01</v>
      </c>
      <c r="E770" s="5">
        <v>7.0000000000000007E-2</v>
      </c>
      <c r="F770" s="5">
        <v>12.5</v>
      </c>
      <c r="G770" s="5">
        <v>0</v>
      </c>
      <c r="H770" s="5">
        <v>-0.5</v>
      </c>
      <c r="I770" s="5">
        <v>1.1000000000000001</v>
      </c>
      <c r="J770" s="5">
        <v>1.4</v>
      </c>
      <c r="M770" s="5">
        <v>1</v>
      </c>
      <c r="N770" s="5">
        <v>1</v>
      </c>
      <c r="O770" s="5">
        <v>3</v>
      </c>
      <c r="P770" s="5" t="s">
        <v>323</v>
      </c>
    </row>
    <row r="771" spans="1:16" s="5" customFormat="1" ht="15.75" customHeight="1" x14ac:dyDescent="0.25">
      <c r="A771" s="6">
        <v>45041</v>
      </c>
      <c r="B771" s="5">
        <v>91</v>
      </c>
      <c r="C771" s="5">
        <v>33</v>
      </c>
      <c r="D771" s="5">
        <v>0.01</v>
      </c>
      <c r="E771" s="5">
        <v>7.0000000000000007E-2</v>
      </c>
      <c r="F771" s="5">
        <v>12.5</v>
      </c>
      <c r="G771" s="5">
        <v>0</v>
      </c>
      <c r="H771" s="5">
        <v>-0.5</v>
      </c>
      <c r="I771" s="5">
        <v>1.1000000000000001</v>
      </c>
      <c r="J771" s="5">
        <v>1.4</v>
      </c>
      <c r="M771" s="5">
        <v>1</v>
      </c>
      <c r="N771" s="5">
        <v>1</v>
      </c>
      <c r="O771" s="5">
        <v>3</v>
      </c>
      <c r="P771" s="5" t="s">
        <v>324</v>
      </c>
    </row>
    <row r="772" spans="1:16" s="5" customFormat="1" ht="15.75" customHeight="1" x14ac:dyDescent="0.25">
      <c r="A772" s="6">
        <v>45041</v>
      </c>
      <c r="B772" s="5">
        <v>91</v>
      </c>
      <c r="C772" s="5">
        <v>34</v>
      </c>
      <c r="D772" s="5">
        <v>0.01</v>
      </c>
      <c r="E772" s="5">
        <v>7.0000000000000007E-2</v>
      </c>
      <c r="F772" s="5">
        <v>12.5</v>
      </c>
      <c r="G772" s="5">
        <v>0</v>
      </c>
      <c r="H772" s="5">
        <v>-0.5</v>
      </c>
      <c r="I772" s="5">
        <v>1.1000000000000001</v>
      </c>
      <c r="J772" s="5">
        <v>1.4</v>
      </c>
      <c r="M772" s="5">
        <v>1</v>
      </c>
      <c r="N772" s="5">
        <v>1</v>
      </c>
      <c r="O772" s="5">
        <v>3</v>
      </c>
      <c r="P772" s="5" t="s">
        <v>273</v>
      </c>
    </row>
    <row r="773" spans="1:16" s="5" customFormat="1" ht="15.75" customHeight="1" x14ac:dyDescent="0.25">
      <c r="A773" s="6">
        <v>45041</v>
      </c>
      <c r="B773" s="5">
        <v>91</v>
      </c>
      <c r="C773" s="5">
        <v>35</v>
      </c>
      <c r="D773" s="5">
        <v>0.01</v>
      </c>
      <c r="E773" s="5">
        <v>7.0000000000000007E-2</v>
      </c>
      <c r="F773" s="5">
        <v>12.5</v>
      </c>
      <c r="G773" s="5">
        <v>0</v>
      </c>
      <c r="H773" s="5">
        <v>-0.5</v>
      </c>
      <c r="I773" s="5">
        <v>1.1000000000000001</v>
      </c>
      <c r="J773" s="5">
        <v>1.4</v>
      </c>
      <c r="M773" s="5">
        <v>1</v>
      </c>
      <c r="N773" s="5">
        <v>1</v>
      </c>
      <c r="O773" s="5">
        <v>3</v>
      </c>
      <c r="P773" s="5" t="s">
        <v>274</v>
      </c>
    </row>
    <row r="774" spans="1:16" s="5" customFormat="1" ht="15.75" customHeight="1" x14ac:dyDescent="0.25">
      <c r="A774" s="6">
        <v>45041</v>
      </c>
      <c r="B774" s="5">
        <v>91</v>
      </c>
      <c r="C774" s="5">
        <v>36</v>
      </c>
      <c r="D774" s="5">
        <v>0.01</v>
      </c>
      <c r="E774" s="5">
        <v>7.0000000000000007E-2</v>
      </c>
      <c r="F774" s="5">
        <v>12.5</v>
      </c>
      <c r="G774" s="5">
        <v>0</v>
      </c>
      <c r="H774" s="5">
        <v>-0.5</v>
      </c>
      <c r="I774" s="5">
        <v>1.1000000000000001</v>
      </c>
      <c r="J774" s="5">
        <v>1.4</v>
      </c>
      <c r="M774" s="5">
        <v>1</v>
      </c>
      <c r="N774" s="5">
        <v>1</v>
      </c>
      <c r="O774" s="5">
        <v>3</v>
      </c>
      <c r="P774" s="5" t="s">
        <v>275</v>
      </c>
    </row>
    <row r="775" spans="1:16" s="5" customFormat="1" ht="15.75" customHeight="1" x14ac:dyDescent="0.25">
      <c r="A775" s="6">
        <v>45041</v>
      </c>
      <c r="B775" s="5">
        <v>91</v>
      </c>
      <c r="C775" s="5">
        <v>37</v>
      </c>
      <c r="D775" s="5">
        <v>0.01</v>
      </c>
      <c r="E775" s="5">
        <v>7.0000000000000007E-2</v>
      </c>
      <c r="F775" s="5">
        <v>12.5</v>
      </c>
      <c r="G775" s="5">
        <v>0</v>
      </c>
      <c r="H775" s="5">
        <v>-0.5</v>
      </c>
      <c r="I775" s="5">
        <v>1.1000000000000001</v>
      </c>
      <c r="J775" s="5">
        <v>1.4</v>
      </c>
      <c r="M775" s="5">
        <v>1</v>
      </c>
      <c r="N775" s="5">
        <v>1</v>
      </c>
      <c r="O775" s="5">
        <v>3</v>
      </c>
      <c r="P775" s="5" t="s">
        <v>276</v>
      </c>
    </row>
    <row r="776" spans="1:16" s="5" customFormat="1" ht="15.75" customHeight="1" x14ac:dyDescent="0.25">
      <c r="A776" s="6">
        <v>45041</v>
      </c>
      <c r="B776" s="5">
        <v>91</v>
      </c>
      <c r="C776" s="5">
        <v>38</v>
      </c>
      <c r="D776" s="5">
        <v>0.01</v>
      </c>
      <c r="E776" s="5">
        <v>7.0000000000000007E-2</v>
      </c>
      <c r="F776" s="5">
        <v>12.5</v>
      </c>
      <c r="G776" s="5">
        <v>0</v>
      </c>
      <c r="H776" s="5">
        <v>-0.5</v>
      </c>
      <c r="I776" s="5">
        <v>1.1000000000000001</v>
      </c>
      <c r="J776" s="5">
        <v>1.4</v>
      </c>
      <c r="M776" s="5">
        <v>1</v>
      </c>
      <c r="N776" s="5">
        <v>1</v>
      </c>
      <c r="O776" s="5">
        <v>3</v>
      </c>
      <c r="P776" s="5" t="s">
        <v>277</v>
      </c>
    </row>
    <row r="777" spans="1:16" s="5" customFormat="1" x14ac:dyDescent="0.25">
      <c r="A777" s="6">
        <v>45044</v>
      </c>
      <c r="B777" s="5">
        <v>92</v>
      </c>
      <c r="C777" s="5">
        <v>2</v>
      </c>
      <c r="D777" s="5">
        <f t="shared" ref="D777:D787" si="26">1/120</f>
        <v>8.3333333333333332E-3</v>
      </c>
      <c r="E777" s="5">
        <f t="shared" ref="E777:E787" si="27">8/120</f>
        <v>6.6666666666666666E-2</v>
      </c>
      <c r="F777" s="5">
        <v>12.5</v>
      </c>
      <c r="G777" s="5">
        <v>0</v>
      </c>
      <c r="H777" s="5">
        <v>-2</v>
      </c>
      <c r="I777" s="5">
        <v>1.2</v>
      </c>
      <c r="J777" s="5">
        <v>0.5</v>
      </c>
      <c r="M777" s="5">
        <v>2</v>
      </c>
      <c r="N777" s="5">
        <v>1</v>
      </c>
      <c r="P777" s="5" t="s">
        <v>302</v>
      </c>
    </row>
    <row r="778" spans="1:16" s="5" customFormat="1" x14ac:dyDescent="0.25">
      <c r="A778" s="6">
        <v>45044</v>
      </c>
      <c r="B778" s="5">
        <v>92</v>
      </c>
      <c r="C778" s="5">
        <v>4</v>
      </c>
      <c r="D778" s="5">
        <f t="shared" si="26"/>
        <v>8.3333333333333332E-3</v>
      </c>
      <c r="E778" s="5">
        <f t="shared" si="27"/>
        <v>6.6666666666666666E-2</v>
      </c>
      <c r="F778" s="5">
        <v>12.5</v>
      </c>
      <c r="G778" s="5">
        <v>0</v>
      </c>
      <c r="H778" s="5">
        <v>-2</v>
      </c>
      <c r="I778" s="5">
        <v>1.2</v>
      </c>
      <c r="J778" s="5">
        <v>0.5</v>
      </c>
      <c r="M778" s="5">
        <v>2</v>
      </c>
      <c r="N778" s="5">
        <v>1</v>
      </c>
      <c r="P778" s="5" t="s">
        <v>234</v>
      </c>
    </row>
    <row r="779" spans="1:16" s="5" customFormat="1" x14ac:dyDescent="0.25">
      <c r="A779" s="6">
        <v>45044</v>
      </c>
      <c r="B779" s="5">
        <v>92</v>
      </c>
      <c r="C779" s="5">
        <v>5</v>
      </c>
      <c r="D779" s="5">
        <f t="shared" si="26"/>
        <v>8.3333333333333332E-3</v>
      </c>
      <c r="E779" s="5">
        <f t="shared" si="27"/>
        <v>6.6666666666666666E-2</v>
      </c>
      <c r="F779" s="5">
        <v>12.5</v>
      </c>
      <c r="G779" s="5">
        <v>0</v>
      </c>
      <c r="H779" s="5">
        <v>-2</v>
      </c>
      <c r="I779" s="5">
        <v>1.2</v>
      </c>
      <c r="J779" s="5">
        <v>0.5</v>
      </c>
      <c r="M779" s="5">
        <v>2</v>
      </c>
      <c r="N779" s="5">
        <v>1</v>
      </c>
      <c r="P779" s="5" t="s">
        <v>282</v>
      </c>
    </row>
    <row r="780" spans="1:16" s="5" customFormat="1" x14ac:dyDescent="0.25">
      <c r="A780" s="6">
        <v>45044</v>
      </c>
      <c r="B780" s="5">
        <v>92</v>
      </c>
      <c r="C780" s="5">
        <v>6</v>
      </c>
      <c r="D780" s="5">
        <f t="shared" si="26"/>
        <v>8.3333333333333332E-3</v>
      </c>
      <c r="E780" s="5">
        <f t="shared" si="27"/>
        <v>6.6666666666666666E-2</v>
      </c>
      <c r="F780" s="5">
        <v>12.5</v>
      </c>
      <c r="G780" s="5">
        <v>0</v>
      </c>
      <c r="H780" s="5">
        <v>-2</v>
      </c>
      <c r="I780" s="5">
        <v>1.2</v>
      </c>
      <c r="J780" s="5">
        <v>0.5</v>
      </c>
      <c r="M780" s="5">
        <v>2</v>
      </c>
      <c r="N780" s="5">
        <v>1</v>
      </c>
      <c r="P780" s="5" t="s">
        <v>173</v>
      </c>
    </row>
    <row r="781" spans="1:16" s="5" customFormat="1" x14ac:dyDescent="0.25">
      <c r="A781" s="6">
        <v>45044</v>
      </c>
      <c r="B781" s="5">
        <v>92</v>
      </c>
      <c r="C781" s="5">
        <v>7</v>
      </c>
      <c r="D781" s="5">
        <f t="shared" si="26"/>
        <v>8.3333333333333332E-3</v>
      </c>
      <c r="E781" s="5">
        <f t="shared" si="27"/>
        <v>6.6666666666666666E-2</v>
      </c>
      <c r="F781" s="5">
        <v>12.5</v>
      </c>
      <c r="G781" s="5">
        <v>0</v>
      </c>
      <c r="H781" s="5">
        <v>-2</v>
      </c>
      <c r="I781" s="5">
        <v>1.2</v>
      </c>
      <c r="J781" s="5">
        <v>0.5</v>
      </c>
      <c r="M781" s="5">
        <v>2</v>
      </c>
      <c r="N781" s="5">
        <v>1</v>
      </c>
      <c r="P781" s="5" t="s">
        <v>250</v>
      </c>
    </row>
    <row r="782" spans="1:16" s="5" customFormat="1" x14ac:dyDescent="0.25">
      <c r="A782" s="6">
        <v>45044</v>
      </c>
      <c r="B782" s="5">
        <v>92</v>
      </c>
      <c r="C782" s="5">
        <v>9</v>
      </c>
      <c r="D782" s="5">
        <f t="shared" si="26"/>
        <v>8.3333333333333332E-3</v>
      </c>
      <c r="E782" s="5">
        <f t="shared" si="27"/>
        <v>6.6666666666666666E-2</v>
      </c>
      <c r="F782" s="5">
        <v>12.5</v>
      </c>
      <c r="G782" s="5">
        <v>0</v>
      </c>
      <c r="H782" s="5">
        <v>-2</v>
      </c>
      <c r="I782" s="5">
        <v>1.2</v>
      </c>
      <c r="J782" s="5">
        <v>0.5</v>
      </c>
      <c r="M782" s="5">
        <v>2</v>
      </c>
      <c r="N782" s="5">
        <v>1</v>
      </c>
      <c r="P782" s="5" t="s">
        <v>251</v>
      </c>
    </row>
    <row r="783" spans="1:16" s="5" customFormat="1" x14ac:dyDescent="0.25">
      <c r="A783" s="6">
        <v>45044</v>
      </c>
      <c r="B783" s="5">
        <v>92</v>
      </c>
      <c r="C783" s="5">
        <v>10</v>
      </c>
      <c r="D783" s="5">
        <f t="shared" si="26"/>
        <v>8.3333333333333332E-3</v>
      </c>
      <c r="E783" s="5">
        <f t="shared" si="27"/>
        <v>6.6666666666666666E-2</v>
      </c>
      <c r="F783" s="5">
        <v>12.5</v>
      </c>
      <c r="G783" s="5">
        <v>0</v>
      </c>
      <c r="H783" s="5">
        <v>-2</v>
      </c>
      <c r="I783" s="5">
        <v>1.2</v>
      </c>
      <c r="J783" s="5">
        <v>0.5</v>
      </c>
      <c r="M783" s="5">
        <v>2</v>
      </c>
      <c r="N783" s="5">
        <v>1</v>
      </c>
      <c r="P783" s="5" t="s">
        <v>252</v>
      </c>
    </row>
    <row r="784" spans="1:16" s="5" customFormat="1" x14ac:dyDescent="0.25">
      <c r="A784" s="6">
        <v>45044</v>
      </c>
      <c r="B784" s="5">
        <v>93</v>
      </c>
      <c r="C784" s="5">
        <v>12</v>
      </c>
      <c r="D784" s="5">
        <f t="shared" si="26"/>
        <v>8.3333333333333332E-3</v>
      </c>
      <c r="E784" s="5">
        <f t="shared" si="27"/>
        <v>6.6666666666666666E-2</v>
      </c>
      <c r="F784" s="5">
        <v>12.5</v>
      </c>
      <c r="G784" s="5">
        <v>0</v>
      </c>
      <c r="H784" s="5">
        <v>-2</v>
      </c>
      <c r="I784" s="5">
        <v>1.2</v>
      </c>
      <c r="J784" s="5">
        <v>0.5</v>
      </c>
      <c r="M784" s="5">
        <v>2</v>
      </c>
      <c r="N784" s="5">
        <v>1</v>
      </c>
      <c r="P784" s="5" t="s">
        <v>311</v>
      </c>
    </row>
    <row r="785" spans="1:16" s="5" customFormat="1" x14ac:dyDescent="0.25">
      <c r="A785" s="6">
        <v>45044</v>
      </c>
      <c r="B785" s="5">
        <v>93</v>
      </c>
      <c r="C785" s="5">
        <v>14</v>
      </c>
      <c r="D785" s="5">
        <f t="shared" si="26"/>
        <v>8.3333333333333332E-3</v>
      </c>
      <c r="E785" s="5">
        <f t="shared" si="27"/>
        <v>6.6666666666666666E-2</v>
      </c>
      <c r="F785" s="5">
        <v>12.5</v>
      </c>
      <c r="G785" s="5">
        <v>0</v>
      </c>
      <c r="H785" s="5">
        <v>-2</v>
      </c>
      <c r="I785" s="5">
        <v>1.2</v>
      </c>
      <c r="J785" s="5">
        <v>0.5</v>
      </c>
      <c r="M785" s="5">
        <v>2</v>
      </c>
      <c r="N785" s="5">
        <v>1</v>
      </c>
      <c r="P785" s="5" t="s">
        <v>251</v>
      </c>
    </row>
    <row r="786" spans="1:16" s="5" customFormat="1" x14ac:dyDescent="0.25">
      <c r="A786" s="6">
        <v>45044</v>
      </c>
      <c r="B786" s="5">
        <v>93</v>
      </c>
      <c r="C786" s="5">
        <v>15</v>
      </c>
      <c r="D786" s="5">
        <f t="shared" si="26"/>
        <v>8.3333333333333332E-3</v>
      </c>
      <c r="E786" s="5">
        <f t="shared" si="27"/>
        <v>6.6666666666666666E-2</v>
      </c>
      <c r="F786" s="5">
        <v>12.5</v>
      </c>
      <c r="G786" s="5">
        <v>0</v>
      </c>
      <c r="H786" s="5">
        <v>-2</v>
      </c>
      <c r="I786" s="5">
        <v>1.2</v>
      </c>
      <c r="J786" s="5">
        <v>0.5</v>
      </c>
      <c r="M786" s="5">
        <v>2</v>
      </c>
      <c r="N786" s="5">
        <v>1</v>
      </c>
      <c r="P786" s="5" t="s">
        <v>252</v>
      </c>
    </row>
    <row r="787" spans="1:16" s="5" customFormat="1" x14ac:dyDescent="0.25">
      <c r="A787" s="6">
        <v>45044</v>
      </c>
      <c r="B787" s="5">
        <v>93</v>
      </c>
      <c r="C787" s="5">
        <v>17</v>
      </c>
      <c r="D787" s="5">
        <f t="shared" si="26"/>
        <v>8.3333333333333332E-3</v>
      </c>
      <c r="E787" s="5">
        <f t="shared" si="27"/>
        <v>6.6666666666666666E-2</v>
      </c>
      <c r="F787" s="5">
        <v>12.5</v>
      </c>
      <c r="G787" s="5">
        <v>0</v>
      </c>
      <c r="H787" s="5">
        <v>-2</v>
      </c>
      <c r="I787" s="5">
        <v>1.2</v>
      </c>
      <c r="J787" s="5">
        <v>0.5</v>
      </c>
      <c r="M787" s="5">
        <v>2</v>
      </c>
      <c r="N787" s="5">
        <v>1</v>
      </c>
      <c r="P787" s="5" t="s">
        <v>334</v>
      </c>
    </row>
    <row r="788" spans="1:16" s="5" customFormat="1" ht="15.75" customHeight="1" x14ac:dyDescent="0.25">
      <c r="A788" s="6">
        <v>45047</v>
      </c>
      <c r="B788" s="5">
        <v>94</v>
      </c>
      <c r="C788" s="5">
        <v>2</v>
      </c>
      <c r="D788" s="5">
        <v>0.01</v>
      </c>
      <c r="E788" s="5">
        <v>7.0000000000000007E-2</v>
      </c>
      <c r="F788" s="5">
        <v>12.5</v>
      </c>
      <c r="G788" s="5">
        <v>0</v>
      </c>
      <c r="H788" s="5">
        <v>-0.5</v>
      </c>
      <c r="I788" s="5">
        <v>1.1000000000000001</v>
      </c>
      <c r="J788" s="5">
        <v>1.4</v>
      </c>
      <c r="M788" s="5">
        <v>1</v>
      </c>
      <c r="N788" s="5">
        <v>1</v>
      </c>
      <c r="O788" s="5">
        <v>1</v>
      </c>
      <c r="P788" s="5" t="s">
        <v>440</v>
      </c>
    </row>
    <row r="789" spans="1:16" s="5" customFormat="1" ht="15.75" customHeight="1" x14ac:dyDescent="0.25">
      <c r="A789" s="6">
        <v>45047</v>
      </c>
      <c r="B789" s="5">
        <v>94</v>
      </c>
      <c r="C789" s="5">
        <v>3</v>
      </c>
      <c r="D789" s="5">
        <v>0.01</v>
      </c>
      <c r="E789" s="5">
        <v>7.0000000000000007E-2</v>
      </c>
      <c r="F789" s="5">
        <v>12.5</v>
      </c>
      <c r="G789" s="5">
        <v>0</v>
      </c>
      <c r="H789" s="5">
        <v>-0.5</v>
      </c>
      <c r="I789" s="5">
        <v>1.1000000000000001</v>
      </c>
      <c r="J789" s="5">
        <v>1.4</v>
      </c>
      <c r="M789" s="5">
        <v>1</v>
      </c>
      <c r="N789" s="5">
        <v>1</v>
      </c>
      <c r="O789" s="5">
        <v>2</v>
      </c>
      <c r="P789" s="5" t="s">
        <v>354</v>
      </c>
    </row>
    <row r="790" spans="1:16" s="5" customFormat="1" ht="15.75" customHeight="1" x14ac:dyDescent="0.25">
      <c r="A790" s="6">
        <v>45047</v>
      </c>
      <c r="B790" s="5">
        <v>94</v>
      </c>
      <c r="C790" s="5">
        <v>4</v>
      </c>
      <c r="D790" s="5">
        <v>0.01</v>
      </c>
      <c r="E790" s="5">
        <v>7.0000000000000007E-2</v>
      </c>
      <c r="F790" s="5">
        <v>12.5</v>
      </c>
      <c r="G790" s="5">
        <v>0</v>
      </c>
      <c r="H790" s="5">
        <v>-0.5</v>
      </c>
      <c r="I790" s="5">
        <v>1.1000000000000001</v>
      </c>
      <c r="J790" s="5">
        <v>1.4</v>
      </c>
      <c r="M790" s="5">
        <v>1</v>
      </c>
      <c r="N790" s="5">
        <v>1</v>
      </c>
      <c r="O790" s="5">
        <v>3</v>
      </c>
      <c r="P790" s="5" t="s">
        <v>350</v>
      </c>
    </row>
    <row r="791" spans="1:16" s="5" customFormat="1" ht="15.75" customHeight="1" x14ac:dyDescent="0.25">
      <c r="A791" s="6">
        <v>45047</v>
      </c>
      <c r="B791" s="5">
        <v>94</v>
      </c>
      <c r="C791" s="5">
        <v>5</v>
      </c>
      <c r="D791" s="5">
        <v>0.01</v>
      </c>
      <c r="E791" s="5">
        <v>7.0000000000000007E-2</v>
      </c>
      <c r="F791" s="5">
        <v>12.5</v>
      </c>
      <c r="G791" s="5">
        <v>0</v>
      </c>
      <c r="H791" s="5">
        <v>-0.5</v>
      </c>
      <c r="I791" s="5">
        <v>1.1000000000000001</v>
      </c>
      <c r="J791" s="5">
        <v>1.4</v>
      </c>
      <c r="M791" s="5">
        <v>1</v>
      </c>
      <c r="N791" s="5">
        <v>1</v>
      </c>
      <c r="O791" s="5">
        <v>3</v>
      </c>
      <c r="P791" s="5" t="s">
        <v>325</v>
      </c>
    </row>
    <row r="792" spans="1:16" s="5" customFormat="1" ht="15.75" customHeight="1" x14ac:dyDescent="0.25">
      <c r="A792" s="6">
        <v>45047</v>
      </c>
      <c r="B792" s="5">
        <v>94</v>
      </c>
      <c r="C792" s="5">
        <v>6</v>
      </c>
      <c r="D792" s="5">
        <v>0.01</v>
      </c>
      <c r="E792" s="5">
        <v>7.0000000000000007E-2</v>
      </c>
      <c r="F792" s="5">
        <v>12.5</v>
      </c>
      <c r="G792" s="5">
        <v>0</v>
      </c>
      <c r="H792" s="5">
        <v>-0.5</v>
      </c>
      <c r="I792" s="5">
        <v>1.1000000000000001</v>
      </c>
      <c r="J792" s="5">
        <v>1.4</v>
      </c>
      <c r="M792" s="5">
        <v>1</v>
      </c>
      <c r="N792" s="5">
        <v>1</v>
      </c>
      <c r="O792" s="5">
        <v>3</v>
      </c>
      <c r="P792" s="5" t="s">
        <v>322</v>
      </c>
    </row>
    <row r="793" spans="1:16" s="5" customFormat="1" ht="15.75" customHeight="1" x14ac:dyDescent="0.25">
      <c r="A793" s="6">
        <v>45047</v>
      </c>
      <c r="B793" s="5">
        <v>94</v>
      </c>
      <c r="C793" s="5">
        <v>7</v>
      </c>
      <c r="D793" s="5">
        <v>0.01</v>
      </c>
      <c r="E793" s="5">
        <v>7.0000000000000007E-2</v>
      </c>
      <c r="F793" s="5">
        <v>12.5</v>
      </c>
      <c r="G793" s="5">
        <v>0</v>
      </c>
      <c r="H793" s="5">
        <v>-0.5</v>
      </c>
      <c r="I793" s="5">
        <v>1.1000000000000001</v>
      </c>
      <c r="J793" s="5">
        <v>1.4</v>
      </c>
      <c r="M793" s="5">
        <v>1</v>
      </c>
      <c r="N793" s="5">
        <v>1</v>
      </c>
      <c r="O793" s="5">
        <v>3</v>
      </c>
      <c r="P793" s="5" t="s">
        <v>268</v>
      </c>
    </row>
    <row r="794" spans="1:16" s="5" customFormat="1" ht="15.75" customHeight="1" x14ac:dyDescent="0.25">
      <c r="A794" s="6">
        <v>45047</v>
      </c>
      <c r="B794" s="5">
        <v>94</v>
      </c>
      <c r="C794" s="5">
        <v>8</v>
      </c>
      <c r="D794" s="5">
        <v>0.01</v>
      </c>
      <c r="E794" s="5">
        <v>7.0000000000000007E-2</v>
      </c>
      <c r="F794" s="5">
        <v>12.5</v>
      </c>
      <c r="G794" s="5">
        <v>0</v>
      </c>
      <c r="H794" s="5">
        <v>-0.5</v>
      </c>
      <c r="I794" s="5">
        <v>1.1000000000000001</v>
      </c>
      <c r="J794" s="5">
        <v>1.4</v>
      </c>
      <c r="M794" s="5">
        <v>1</v>
      </c>
      <c r="N794" s="5">
        <v>1</v>
      </c>
      <c r="O794" s="5">
        <v>3</v>
      </c>
      <c r="P794" s="5" t="s">
        <v>327</v>
      </c>
    </row>
    <row r="795" spans="1:16" s="5" customFormat="1" ht="15.75" customHeight="1" x14ac:dyDescent="0.25">
      <c r="A795" s="6">
        <v>45047</v>
      </c>
      <c r="B795" s="5">
        <v>94</v>
      </c>
      <c r="C795" s="5">
        <v>9</v>
      </c>
      <c r="D795" s="5">
        <v>0.01</v>
      </c>
      <c r="E795" s="5">
        <v>7.0000000000000007E-2</v>
      </c>
      <c r="F795" s="5">
        <v>12.5</v>
      </c>
      <c r="G795" s="5">
        <v>0</v>
      </c>
      <c r="H795" s="5">
        <v>-0.5</v>
      </c>
      <c r="I795" s="5">
        <v>1.1000000000000001</v>
      </c>
      <c r="J795" s="5">
        <v>1.4</v>
      </c>
      <c r="M795" s="5">
        <v>1</v>
      </c>
      <c r="N795" s="5">
        <v>1</v>
      </c>
      <c r="O795" s="5">
        <v>3</v>
      </c>
      <c r="P795" s="5" t="s">
        <v>323</v>
      </c>
    </row>
    <row r="796" spans="1:16" s="5" customFormat="1" ht="15.75" customHeight="1" x14ac:dyDescent="0.25">
      <c r="A796" s="6">
        <v>45047</v>
      </c>
      <c r="B796" s="5">
        <v>94</v>
      </c>
      <c r="C796" s="5">
        <v>10</v>
      </c>
      <c r="D796" s="5">
        <v>0.01</v>
      </c>
      <c r="E796" s="5">
        <v>7.0000000000000007E-2</v>
      </c>
      <c r="F796" s="5">
        <v>12.5</v>
      </c>
      <c r="G796" s="5">
        <v>0</v>
      </c>
      <c r="H796" s="5">
        <v>-0.5</v>
      </c>
      <c r="I796" s="5">
        <v>1.1000000000000001</v>
      </c>
      <c r="J796" s="5">
        <v>1.4</v>
      </c>
      <c r="M796" s="5">
        <v>1</v>
      </c>
      <c r="N796" s="5">
        <v>1</v>
      </c>
      <c r="O796" s="5">
        <v>3</v>
      </c>
      <c r="P796" s="5" t="s">
        <v>271</v>
      </c>
    </row>
    <row r="797" spans="1:16" s="5" customFormat="1" ht="15.75" customHeight="1" x14ac:dyDescent="0.25">
      <c r="A797" s="6">
        <v>45047</v>
      </c>
      <c r="B797" s="5">
        <v>94</v>
      </c>
      <c r="C797" s="5">
        <v>11</v>
      </c>
      <c r="D797" s="5">
        <v>0.01</v>
      </c>
      <c r="E797" s="5">
        <v>7.0000000000000007E-2</v>
      </c>
      <c r="F797" s="5">
        <v>12.5</v>
      </c>
      <c r="G797" s="5">
        <v>0</v>
      </c>
      <c r="H797" s="5">
        <v>-0.5</v>
      </c>
      <c r="I797" s="5">
        <v>1.1000000000000001</v>
      </c>
      <c r="J797" s="5">
        <v>1.4</v>
      </c>
      <c r="M797" s="5">
        <v>1</v>
      </c>
      <c r="N797" s="5">
        <v>1</v>
      </c>
      <c r="O797" s="5">
        <v>3</v>
      </c>
      <c r="P797" s="5" t="s">
        <v>326</v>
      </c>
    </row>
    <row r="798" spans="1:16" s="5" customFormat="1" ht="15.75" customHeight="1" x14ac:dyDescent="0.25">
      <c r="A798" s="6">
        <v>45047</v>
      </c>
      <c r="B798" s="5">
        <v>94</v>
      </c>
      <c r="C798" s="5">
        <v>12</v>
      </c>
      <c r="D798" s="5">
        <v>0.01</v>
      </c>
      <c r="E798" s="5">
        <v>7.0000000000000007E-2</v>
      </c>
      <c r="F798" s="5">
        <v>12.5</v>
      </c>
      <c r="G798" s="5">
        <v>0</v>
      </c>
      <c r="H798" s="5">
        <v>-0.5</v>
      </c>
      <c r="I798" s="5">
        <v>1.1000000000000001</v>
      </c>
      <c r="J798" s="5">
        <v>1.4</v>
      </c>
      <c r="M798" s="5">
        <v>1</v>
      </c>
      <c r="N798" s="5">
        <v>1</v>
      </c>
      <c r="O798" s="5">
        <v>3</v>
      </c>
      <c r="P798" s="5" t="s">
        <v>324</v>
      </c>
    </row>
    <row r="799" spans="1:16" s="5" customFormat="1" ht="15.75" customHeight="1" x14ac:dyDescent="0.25">
      <c r="A799" s="6">
        <v>45047</v>
      </c>
      <c r="B799" s="5">
        <v>94</v>
      </c>
      <c r="C799" s="5">
        <v>13</v>
      </c>
      <c r="D799" s="5">
        <v>0.01</v>
      </c>
      <c r="E799" s="5">
        <v>7.0000000000000007E-2</v>
      </c>
      <c r="F799" s="5">
        <v>12.5</v>
      </c>
      <c r="G799" s="5">
        <v>0</v>
      </c>
      <c r="H799" s="5">
        <v>-0.5</v>
      </c>
      <c r="I799" s="5">
        <v>1.1000000000000001</v>
      </c>
      <c r="J799" s="5">
        <v>1.4</v>
      </c>
      <c r="M799" s="5">
        <v>1</v>
      </c>
      <c r="N799" s="5">
        <v>1</v>
      </c>
      <c r="O799" s="5">
        <v>3</v>
      </c>
      <c r="P799" s="5" t="s">
        <v>272</v>
      </c>
    </row>
    <row r="800" spans="1:16" s="5" customFormat="1" ht="15.75" customHeight="1" x14ac:dyDescent="0.25">
      <c r="A800" s="6">
        <v>45047</v>
      </c>
      <c r="B800" s="5">
        <v>94</v>
      </c>
      <c r="C800" s="5">
        <v>14</v>
      </c>
      <c r="D800" s="5">
        <v>0.01</v>
      </c>
      <c r="E800" s="5">
        <v>7.0000000000000007E-2</v>
      </c>
      <c r="F800" s="5">
        <v>12.5</v>
      </c>
      <c r="G800" s="5">
        <v>0</v>
      </c>
      <c r="H800" s="5">
        <v>-0.5</v>
      </c>
      <c r="I800" s="5">
        <v>1.1000000000000001</v>
      </c>
      <c r="J800" s="5">
        <v>1.4</v>
      </c>
      <c r="M800" s="5">
        <v>1</v>
      </c>
      <c r="N800" s="5">
        <v>1</v>
      </c>
      <c r="O800" s="5">
        <v>3</v>
      </c>
      <c r="P800" s="5" t="s">
        <v>283</v>
      </c>
    </row>
    <row r="801" spans="1:16" s="5" customFormat="1" ht="15.75" customHeight="1" x14ac:dyDescent="0.25">
      <c r="A801" s="6">
        <v>45047</v>
      </c>
      <c r="B801" s="5">
        <v>94</v>
      </c>
      <c r="C801" s="5">
        <v>15</v>
      </c>
      <c r="D801" s="5">
        <v>0.01</v>
      </c>
      <c r="E801" s="5">
        <v>7.0000000000000007E-2</v>
      </c>
      <c r="F801" s="5">
        <v>12.5</v>
      </c>
      <c r="G801" s="5">
        <v>0</v>
      </c>
      <c r="H801" s="5">
        <v>-0.5</v>
      </c>
      <c r="I801" s="5">
        <v>1.1000000000000001</v>
      </c>
      <c r="J801" s="5">
        <v>1.4</v>
      </c>
      <c r="M801" s="5">
        <v>1</v>
      </c>
      <c r="N801" s="5">
        <v>1</v>
      </c>
      <c r="O801" s="5">
        <v>3</v>
      </c>
      <c r="P801" s="5" t="s">
        <v>284</v>
      </c>
    </row>
    <row r="802" spans="1:16" s="5" customFormat="1" ht="15.75" customHeight="1" x14ac:dyDescent="0.25">
      <c r="A802" s="6">
        <v>45047</v>
      </c>
      <c r="B802" s="5">
        <v>94</v>
      </c>
      <c r="C802" s="5">
        <v>16</v>
      </c>
      <c r="D802" s="5">
        <v>0.01</v>
      </c>
      <c r="E802" s="5">
        <v>7.0000000000000007E-2</v>
      </c>
      <c r="F802" s="5">
        <v>12.5</v>
      </c>
      <c r="G802" s="5">
        <v>0</v>
      </c>
      <c r="H802" s="5">
        <v>-0.5</v>
      </c>
      <c r="I802" s="5">
        <v>1.1000000000000001</v>
      </c>
      <c r="J802" s="5">
        <v>1.4</v>
      </c>
      <c r="M802" s="5">
        <v>1</v>
      </c>
      <c r="N802" s="5">
        <v>1</v>
      </c>
      <c r="O802" s="5">
        <v>3</v>
      </c>
      <c r="P802" s="5" t="s">
        <v>285</v>
      </c>
    </row>
    <row r="803" spans="1:16" s="5" customFormat="1" ht="15.75" customHeight="1" x14ac:dyDescent="0.25">
      <c r="A803" s="6">
        <v>45047</v>
      </c>
      <c r="B803" s="5">
        <v>94</v>
      </c>
      <c r="C803" s="5">
        <v>17</v>
      </c>
      <c r="D803" s="5">
        <v>0.01</v>
      </c>
      <c r="E803" s="5">
        <v>7.0000000000000007E-2</v>
      </c>
      <c r="F803" s="5">
        <v>12.5</v>
      </c>
      <c r="G803" s="5">
        <v>0</v>
      </c>
      <c r="H803" s="5">
        <v>-0.5</v>
      </c>
      <c r="I803" s="5">
        <v>1.1000000000000001</v>
      </c>
      <c r="J803" s="5">
        <v>1.4</v>
      </c>
      <c r="M803" s="5">
        <v>1</v>
      </c>
      <c r="N803" s="5">
        <v>1</v>
      </c>
      <c r="O803" s="5">
        <v>3</v>
      </c>
      <c r="P803" s="5" t="s">
        <v>359</v>
      </c>
    </row>
    <row r="804" spans="1:16" s="5" customFormat="1" ht="15.75" customHeight="1" x14ac:dyDescent="0.25">
      <c r="A804" s="6">
        <v>45047</v>
      </c>
      <c r="B804" s="5">
        <v>94</v>
      </c>
      <c r="C804" s="5">
        <v>18</v>
      </c>
      <c r="D804" s="5">
        <v>0.01</v>
      </c>
      <c r="E804" s="5">
        <v>7.0000000000000007E-2</v>
      </c>
      <c r="F804" s="5">
        <v>12.5</v>
      </c>
      <c r="G804" s="5">
        <v>0</v>
      </c>
      <c r="H804" s="5">
        <v>-0.5</v>
      </c>
      <c r="I804" s="5">
        <v>1.1000000000000001</v>
      </c>
      <c r="J804" s="5">
        <v>1.4</v>
      </c>
      <c r="M804" s="5">
        <v>1</v>
      </c>
      <c r="N804" s="5">
        <v>1</v>
      </c>
      <c r="O804" s="5">
        <v>3</v>
      </c>
      <c r="P804" s="5" t="s">
        <v>276</v>
      </c>
    </row>
    <row r="805" spans="1:16" s="5" customFormat="1" ht="15.75" customHeight="1" x14ac:dyDescent="0.25">
      <c r="A805" s="6">
        <v>45047</v>
      </c>
      <c r="B805" s="5">
        <v>94</v>
      </c>
      <c r="C805" s="5">
        <v>19</v>
      </c>
      <c r="D805" s="5">
        <v>0.01</v>
      </c>
      <c r="E805" s="5">
        <v>7.0000000000000007E-2</v>
      </c>
      <c r="F805" s="5">
        <v>12.5</v>
      </c>
      <c r="G805" s="5">
        <v>0</v>
      </c>
      <c r="H805" s="5">
        <v>-0.5</v>
      </c>
      <c r="I805" s="5">
        <v>1.1000000000000001</v>
      </c>
      <c r="J805" s="5">
        <v>1.4</v>
      </c>
      <c r="M805" s="5">
        <v>1</v>
      </c>
      <c r="N805" s="5">
        <v>1</v>
      </c>
      <c r="O805" s="5">
        <v>1</v>
      </c>
      <c r="P805" s="5" t="s">
        <v>277</v>
      </c>
    </row>
    <row r="806" spans="1:16" s="5" customFormat="1" ht="15.75" customHeight="1" x14ac:dyDescent="0.25">
      <c r="A806" s="6">
        <v>45047</v>
      </c>
      <c r="B806" s="5">
        <v>95</v>
      </c>
      <c r="C806" s="5">
        <v>21</v>
      </c>
      <c r="D806" s="5">
        <v>0.01</v>
      </c>
      <c r="E806" s="5">
        <v>7.0000000000000007E-2</v>
      </c>
      <c r="F806" s="5">
        <v>12.5</v>
      </c>
      <c r="G806" s="5">
        <v>0</v>
      </c>
      <c r="H806" s="5">
        <v>-0.5</v>
      </c>
      <c r="I806" s="5">
        <v>1.1000000000000001</v>
      </c>
      <c r="J806" s="5">
        <v>1.4</v>
      </c>
      <c r="M806" s="5">
        <v>1</v>
      </c>
      <c r="N806" s="5">
        <v>1</v>
      </c>
      <c r="O806" s="5">
        <v>2</v>
      </c>
      <c r="P806" s="5" t="s">
        <v>353</v>
      </c>
    </row>
    <row r="807" spans="1:16" s="5" customFormat="1" ht="15.75" customHeight="1" x14ac:dyDescent="0.25">
      <c r="A807" s="6">
        <v>45047</v>
      </c>
      <c r="B807" s="5">
        <v>95</v>
      </c>
      <c r="C807" s="5">
        <v>22</v>
      </c>
      <c r="D807" s="5">
        <v>0.01</v>
      </c>
      <c r="E807" s="5">
        <v>7.0000000000000007E-2</v>
      </c>
      <c r="F807" s="5">
        <v>12.5</v>
      </c>
      <c r="G807" s="5">
        <v>0</v>
      </c>
      <c r="H807" s="5">
        <v>-0.5</v>
      </c>
      <c r="I807" s="5">
        <v>1.1000000000000001</v>
      </c>
      <c r="J807" s="5">
        <v>1.4</v>
      </c>
      <c r="M807" s="5">
        <v>1</v>
      </c>
      <c r="N807" s="5">
        <v>1</v>
      </c>
      <c r="O807" s="5">
        <v>2</v>
      </c>
      <c r="P807" s="5" t="s">
        <v>325</v>
      </c>
    </row>
    <row r="808" spans="1:16" s="5" customFormat="1" ht="15.75" customHeight="1" x14ac:dyDescent="0.25">
      <c r="A808" s="6">
        <v>45047</v>
      </c>
      <c r="B808" s="5">
        <v>95</v>
      </c>
      <c r="C808" s="5">
        <v>23</v>
      </c>
      <c r="D808" s="5">
        <v>0.01</v>
      </c>
      <c r="E808" s="5">
        <v>7.0000000000000007E-2</v>
      </c>
      <c r="F808" s="5">
        <v>12.5</v>
      </c>
      <c r="G808" s="5">
        <v>0</v>
      </c>
      <c r="H808" s="5">
        <v>-0.5</v>
      </c>
      <c r="I808" s="5">
        <v>1.1000000000000001</v>
      </c>
      <c r="J808" s="5">
        <v>1.4</v>
      </c>
      <c r="M808" s="5">
        <v>1</v>
      </c>
      <c r="N808" s="5">
        <v>1</v>
      </c>
      <c r="O808" s="5">
        <v>2</v>
      </c>
      <c r="P808" s="5" t="s">
        <v>327</v>
      </c>
    </row>
    <row r="809" spans="1:16" s="5" customFormat="1" ht="15.75" customHeight="1" x14ac:dyDescent="0.25">
      <c r="A809" s="6">
        <v>45047</v>
      </c>
      <c r="B809" s="5">
        <v>95</v>
      </c>
      <c r="C809" s="5">
        <v>24</v>
      </c>
      <c r="D809" s="5">
        <v>0.01</v>
      </c>
      <c r="E809" s="5">
        <v>7.0000000000000007E-2</v>
      </c>
      <c r="F809" s="5">
        <v>12.5</v>
      </c>
      <c r="G809" s="5">
        <v>0</v>
      </c>
      <c r="H809" s="5">
        <v>-0.5</v>
      </c>
      <c r="I809" s="5">
        <v>1.1000000000000001</v>
      </c>
      <c r="J809" s="5">
        <v>1.4</v>
      </c>
      <c r="M809" s="5">
        <v>1</v>
      </c>
      <c r="N809" s="5">
        <v>1</v>
      </c>
      <c r="O809" s="5">
        <v>3</v>
      </c>
      <c r="P809" s="5" t="s">
        <v>326</v>
      </c>
    </row>
    <row r="810" spans="1:16" s="5" customFormat="1" ht="15.75" customHeight="1" x14ac:dyDescent="0.25">
      <c r="A810" s="6">
        <v>45047</v>
      </c>
      <c r="B810" s="5">
        <v>95</v>
      </c>
      <c r="C810" s="5">
        <v>25</v>
      </c>
      <c r="D810" s="5">
        <v>0.01</v>
      </c>
      <c r="E810" s="5">
        <v>7.0000000000000007E-2</v>
      </c>
      <c r="F810" s="5">
        <v>12.5</v>
      </c>
      <c r="G810" s="5">
        <v>0</v>
      </c>
      <c r="H810" s="5">
        <v>-0.5</v>
      </c>
      <c r="I810" s="5">
        <v>1.1000000000000001</v>
      </c>
      <c r="J810" s="5">
        <v>1.4</v>
      </c>
      <c r="M810" s="5">
        <v>1</v>
      </c>
      <c r="N810" s="5">
        <v>1</v>
      </c>
      <c r="O810" s="5">
        <v>2</v>
      </c>
      <c r="P810" s="5" t="s">
        <v>359</v>
      </c>
    </row>
    <row r="811" spans="1:16" s="5" customFormat="1" ht="15.75" customHeight="1" x14ac:dyDescent="0.25">
      <c r="A811" s="6">
        <v>45047</v>
      </c>
      <c r="B811" s="5">
        <v>95</v>
      </c>
      <c r="C811" s="5">
        <v>26</v>
      </c>
      <c r="D811" s="5">
        <v>0.01</v>
      </c>
      <c r="E811" s="5">
        <v>7.0000000000000007E-2</v>
      </c>
      <c r="F811" s="5">
        <v>12.5</v>
      </c>
      <c r="G811" s="5">
        <v>0</v>
      </c>
      <c r="H811" s="5">
        <v>-0.5</v>
      </c>
      <c r="I811" s="5">
        <v>1.1000000000000001</v>
      </c>
      <c r="J811" s="5">
        <v>1.4</v>
      </c>
      <c r="M811" s="5">
        <v>1</v>
      </c>
      <c r="N811" s="5">
        <v>1</v>
      </c>
      <c r="O811" s="5">
        <v>2</v>
      </c>
      <c r="P811" s="5" t="s">
        <v>273</v>
      </c>
    </row>
    <row r="812" spans="1:16" s="5" customFormat="1" ht="15.75" customHeight="1" x14ac:dyDescent="0.25">
      <c r="A812" s="6">
        <v>45047</v>
      </c>
      <c r="B812" s="5">
        <v>95</v>
      </c>
      <c r="C812" s="5">
        <v>27</v>
      </c>
      <c r="D812" s="5">
        <v>0.01</v>
      </c>
      <c r="E812" s="5">
        <v>7.0000000000000007E-2</v>
      </c>
      <c r="F812" s="5">
        <v>12.5</v>
      </c>
      <c r="G812" s="5">
        <v>0</v>
      </c>
      <c r="H812" s="5">
        <v>-2.5</v>
      </c>
      <c r="I812" s="5">
        <v>1.1000000000000001</v>
      </c>
      <c r="J812" s="5">
        <v>1.4</v>
      </c>
      <c r="M812" s="5">
        <v>1</v>
      </c>
      <c r="N812" s="5">
        <v>1</v>
      </c>
      <c r="O812" s="5">
        <v>2</v>
      </c>
      <c r="P812" s="5" t="s">
        <v>276</v>
      </c>
    </row>
    <row r="813" spans="1:16" s="5" customFormat="1" ht="15.75" customHeight="1" x14ac:dyDescent="0.25">
      <c r="A813" s="6">
        <v>45047</v>
      </c>
      <c r="B813" s="5">
        <v>95</v>
      </c>
      <c r="C813" s="5">
        <v>28</v>
      </c>
      <c r="D813" s="5">
        <v>0.01</v>
      </c>
      <c r="E813" s="5">
        <v>7.0000000000000007E-2</v>
      </c>
      <c r="F813" s="5">
        <v>12.5</v>
      </c>
      <c r="G813" s="5">
        <v>0</v>
      </c>
      <c r="H813" s="5">
        <v>-2</v>
      </c>
      <c r="I813" s="5">
        <v>1.1000000000000001</v>
      </c>
      <c r="J813" s="5">
        <v>1.4</v>
      </c>
      <c r="M813" s="5">
        <v>1</v>
      </c>
      <c r="N813" s="5">
        <v>1</v>
      </c>
      <c r="O813" s="5">
        <v>2</v>
      </c>
      <c r="P813" s="5" t="s">
        <v>277</v>
      </c>
    </row>
    <row r="814" spans="1:16" s="5" customFormat="1" ht="15.75" customHeight="1" x14ac:dyDescent="0.25">
      <c r="A814" s="6">
        <v>45047</v>
      </c>
      <c r="B814" s="5">
        <v>95</v>
      </c>
      <c r="C814" s="5">
        <v>29</v>
      </c>
      <c r="D814" s="5">
        <v>0.01</v>
      </c>
      <c r="E814" s="5">
        <v>7.0000000000000007E-2</v>
      </c>
      <c r="F814" s="5">
        <v>12.5</v>
      </c>
      <c r="G814" s="5">
        <v>0</v>
      </c>
      <c r="H814" s="5">
        <v>-0.5</v>
      </c>
      <c r="I814" s="5">
        <v>1.1000000000000001</v>
      </c>
      <c r="J814" s="5">
        <v>1.4</v>
      </c>
      <c r="M814" s="5">
        <v>1</v>
      </c>
      <c r="N814" s="5">
        <v>1</v>
      </c>
      <c r="O814" s="5">
        <v>2</v>
      </c>
      <c r="P814" s="5" t="s">
        <v>286</v>
      </c>
    </row>
    <row r="815" spans="1:16" s="5" customFormat="1" ht="15.75" customHeight="1" x14ac:dyDescent="0.25">
      <c r="A815" s="6">
        <v>45047</v>
      </c>
      <c r="B815" s="5">
        <v>95</v>
      </c>
      <c r="C815" s="5">
        <v>30</v>
      </c>
      <c r="D815" s="5">
        <v>0.01</v>
      </c>
      <c r="E815" s="5">
        <v>7.0000000000000007E-2</v>
      </c>
      <c r="F815" s="5">
        <v>12.5</v>
      </c>
      <c r="G815" s="5">
        <v>0</v>
      </c>
      <c r="H815" s="5">
        <v>-0.5</v>
      </c>
      <c r="I815" s="5">
        <v>1.1000000000000001</v>
      </c>
      <c r="J815" s="5">
        <v>1.4</v>
      </c>
      <c r="M815" s="5">
        <v>1</v>
      </c>
      <c r="N815" s="5">
        <v>1</v>
      </c>
      <c r="O815" s="5">
        <v>7.0000000000000007E-2</v>
      </c>
      <c r="P815" s="5" t="s">
        <v>287</v>
      </c>
    </row>
    <row r="816" spans="1:16" s="5" customFormat="1" ht="15.75" customHeight="1" x14ac:dyDescent="0.25">
      <c r="A816" s="6">
        <v>45047</v>
      </c>
      <c r="B816" s="5">
        <v>95</v>
      </c>
      <c r="C816" s="5">
        <v>31</v>
      </c>
      <c r="D816" s="5">
        <v>0.01</v>
      </c>
      <c r="E816" s="5">
        <v>7.0000000000000007E-2</v>
      </c>
      <c r="F816" s="5">
        <v>12.5</v>
      </c>
      <c r="G816" s="5">
        <v>0</v>
      </c>
      <c r="H816" s="5">
        <v>-0.5</v>
      </c>
      <c r="I816" s="5">
        <v>1.1000000000000001</v>
      </c>
      <c r="J816" s="5">
        <v>1.4</v>
      </c>
      <c r="M816" s="5">
        <v>1</v>
      </c>
      <c r="N816" s="5">
        <v>1</v>
      </c>
      <c r="O816" s="5">
        <v>2</v>
      </c>
      <c r="P816" s="5" t="s">
        <v>288</v>
      </c>
    </row>
    <row r="817" spans="1:16" s="5" customFormat="1" ht="15.75" customHeight="1" x14ac:dyDescent="0.25">
      <c r="A817" s="6">
        <v>45047</v>
      </c>
      <c r="B817" s="5">
        <v>95</v>
      </c>
      <c r="C817" s="5">
        <v>32</v>
      </c>
      <c r="D817" s="5">
        <v>0.01</v>
      </c>
      <c r="E817" s="5">
        <v>7.0000000000000007E-2</v>
      </c>
      <c r="F817" s="5">
        <v>12.5</v>
      </c>
      <c r="G817" s="5">
        <v>0</v>
      </c>
      <c r="H817" s="5">
        <v>-0.5</v>
      </c>
      <c r="I817" s="5">
        <v>1.1000000000000001</v>
      </c>
      <c r="J817" s="5">
        <v>1.4</v>
      </c>
      <c r="M817" s="5">
        <v>1</v>
      </c>
      <c r="N817" s="5">
        <v>1</v>
      </c>
      <c r="O817" s="5">
        <v>2</v>
      </c>
      <c r="P817" s="5" t="s">
        <v>289</v>
      </c>
    </row>
    <row r="818" spans="1:16" s="5" customFormat="1" ht="15.75" customHeight="1" x14ac:dyDescent="0.25">
      <c r="A818" s="6">
        <v>45048</v>
      </c>
      <c r="B818" s="5">
        <v>96</v>
      </c>
      <c r="C818" s="5">
        <v>2</v>
      </c>
      <c r="D818" s="5">
        <v>0.01</v>
      </c>
      <c r="E818" s="5">
        <v>7.0000000000000007E-2</v>
      </c>
      <c r="F818" s="5">
        <v>12.5</v>
      </c>
      <c r="G818" s="5">
        <v>0</v>
      </c>
      <c r="H818" s="5">
        <v>-0.5</v>
      </c>
      <c r="I818" s="5">
        <v>1.1000000000000001</v>
      </c>
      <c r="J818" s="5">
        <v>1.4</v>
      </c>
      <c r="M818" s="5">
        <v>1</v>
      </c>
      <c r="N818" s="5">
        <v>1</v>
      </c>
      <c r="O818" s="5">
        <v>2</v>
      </c>
      <c r="P818" s="5" t="s">
        <v>440</v>
      </c>
    </row>
    <row r="819" spans="1:16" s="5" customFormat="1" ht="15.75" customHeight="1" x14ac:dyDescent="0.25">
      <c r="A819" s="6">
        <v>45048</v>
      </c>
      <c r="B819" s="5">
        <v>96</v>
      </c>
      <c r="C819" s="5">
        <v>3</v>
      </c>
      <c r="D819" s="5">
        <v>0.01</v>
      </c>
      <c r="E819" s="5">
        <v>7.0000000000000007E-2</v>
      </c>
      <c r="F819" s="5">
        <v>12.5</v>
      </c>
      <c r="G819" s="5">
        <v>0</v>
      </c>
      <c r="H819" s="5">
        <v>-0.5</v>
      </c>
      <c r="I819" s="5">
        <v>1.1000000000000001</v>
      </c>
      <c r="J819" s="5">
        <v>1.4</v>
      </c>
      <c r="M819" s="5">
        <v>1</v>
      </c>
      <c r="N819" s="5">
        <v>1</v>
      </c>
      <c r="O819" s="5">
        <v>0.5</v>
      </c>
      <c r="P819" s="5" t="s">
        <v>325</v>
      </c>
    </row>
    <row r="820" spans="1:16" s="5" customFormat="1" ht="15.75" customHeight="1" x14ac:dyDescent="0.25">
      <c r="A820" s="6">
        <v>45048</v>
      </c>
      <c r="B820" s="5">
        <v>96</v>
      </c>
      <c r="C820" s="5">
        <v>4</v>
      </c>
      <c r="D820" s="5">
        <v>0.01</v>
      </c>
      <c r="E820" s="5">
        <v>7.0000000000000007E-2</v>
      </c>
      <c r="F820" s="5">
        <v>12.5</v>
      </c>
      <c r="G820" s="5">
        <v>0</v>
      </c>
      <c r="H820" s="5">
        <v>-0.5</v>
      </c>
      <c r="I820" s="5">
        <v>1.1000000000000001</v>
      </c>
      <c r="J820" s="5">
        <v>1.4</v>
      </c>
      <c r="M820" s="5">
        <v>1</v>
      </c>
      <c r="N820" s="5">
        <v>1</v>
      </c>
      <c r="O820" s="5">
        <v>2</v>
      </c>
      <c r="P820" s="5" t="s">
        <v>328</v>
      </c>
    </row>
    <row r="821" spans="1:16" s="5" customFormat="1" ht="15.75" customHeight="1" x14ac:dyDescent="0.25">
      <c r="A821" s="6">
        <v>45048</v>
      </c>
      <c r="B821" s="5">
        <v>96</v>
      </c>
      <c r="C821" s="5">
        <v>5</v>
      </c>
      <c r="D821" s="5">
        <v>0.01</v>
      </c>
      <c r="E821" s="5">
        <v>7.0000000000000007E-2</v>
      </c>
      <c r="F821" s="5">
        <v>12.5</v>
      </c>
      <c r="G821" s="5">
        <v>0</v>
      </c>
      <c r="H821" s="5">
        <v>-0.5</v>
      </c>
      <c r="I821" s="5">
        <v>1.1000000000000001</v>
      </c>
      <c r="J821" s="5">
        <v>1.4</v>
      </c>
      <c r="M821" s="5">
        <v>1</v>
      </c>
      <c r="N821" s="5">
        <v>1</v>
      </c>
      <c r="O821" s="5">
        <v>2</v>
      </c>
      <c r="P821" s="5" t="s">
        <v>329</v>
      </c>
    </row>
    <row r="822" spans="1:16" s="5" customFormat="1" ht="15.75" customHeight="1" x14ac:dyDescent="0.25">
      <c r="A822" s="6">
        <v>45048</v>
      </c>
      <c r="B822" s="5">
        <v>96</v>
      </c>
      <c r="C822" s="5">
        <v>6</v>
      </c>
      <c r="D822" s="5">
        <v>0.01</v>
      </c>
      <c r="E822" s="5">
        <v>7.0000000000000007E-2</v>
      </c>
      <c r="F822" s="5">
        <v>12.5</v>
      </c>
      <c r="G822" s="5">
        <v>0</v>
      </c>
      <c r="H822" s="5">
        <v>-0.5</v>
      </c>
      <c r="I822" s="5">
        <v>1.1000000000000001</v>
      </c>
      <c r="J822" s="5">
        <v>1.4</v>
      </c>
      <c r="M822" s="5">
        <v>1</v>
      </c>
      <c r="N822" s="5">
        <v>1</v>
      </c>
      <c r="O822" s="5">
        <v>2</v>
      </c>
      <c r="P822" s="5" t="s">
        <v>360</v>
      </c>
    </row>
    <row r="823" spans="1:16" s="5" customFormat="1" ht="15.75" customHeight="1" x14ac:dyDescent="0.25">
      <c r="A823" s="6">
        <v>45048</v>
      </c>
      <c r="B823" s="5">
        <v>96</v>
      </c>
      <c r="C823" s="5">
        <v>7</v>
      </c>
      <c r="D823" s="5">
        <v>0.01</v>
      </c>
      <c r="E823" s="5">
        <v>7.0000000000000007E-2</v>
      </c>
      <c r="F823" s="5">
        <v>12.5</v>
      </c>
      <c r="G823" s="5">
        <v>0</v>
      </c>
      <c r="H823" s="5">
        <v>-0.5</v>
      </c>
      <c r="I823" s="5">
        <v>1.1000000000000001</v>
      </c>
      <c r="J823" s="5">
        <v>1.4</v>
      </c>
      <c r="M823" s="5">
        <v>1</v>
      </c>
      <c r="N823" s="5">
        <v>1</v>
      </c>
      <c r="O823" s="5">
        <v>2</v>
      </c>
      <c r="P823" s="5" t="s">
        <v>313</v>
      </c>
    </row>
    <row r="824" spans="1:16" s="5" customFormat="1" ht="15.75" customHeight="1" x14ac:dyDescent="0.25">
      <c r="A824" s="6">
        <v>45048</v>
      </c>
      <c r="B824" s="5">
        <v>96</v>
      </c>
      <c r="C824" s="5">
        <v>8</v>
      </c>
      <c r="D824" s="5">
        <v>0.01</v>
      </c>
      <c r="E824" s="5">
        <v>7.0000000000000007E-2</v>
      </c>
      <c r="F824" s="5">
        <v>12.5</v>
      </c>
      <c r="G824" s="5">
        <v>0</v>
      </c>
      <c r="H824" s="5">
        <v>-0.5</v>
      </c>
      <c r="I824" s="5">
        <v>1.1000000000000001</v>
      </c>
      <c r="J824" s="5">
        <v>1.4</v>
      </c>
      <c r="M824" s="5">
        <v>1</v>
      </c>
      <c r="N824" s="5">
        <v>1</v>
      </c>
      <c r="O824" s="5">
        <v>2</v>
      </c>
      <c r="P824" s="5" t="s">
        <v>314</v>
      </c>
    </row>
    <row r="825" spans="1:16" s="5" customFormat="1" ht="15.75" customHeight="1" x14ac:dyDescent="0.25">
      <c r="A825" s="6">
        <v>45048</v>
      </c>
      <c r="B825" s="5">
        <v>96</v>
      </c>
      <c r="C825" s="5">
        <v>9</v>
      </c>
      <c r="D825" s="5">
        <v>0.01</v>
      </c>
      <c r="E825" s="5">
        <v>7.0000000000000007E-2</v>
      </c>
      <c r="F825" s="5">
        <v>12.5</v>
      </c>
      <c r="G825" s="5">
        <v>0</v>
      </c>
      <c r="H825" s="5">
        <v>-0.5</v>
      </c>
      <c r="I825" s="5">
        <v>1.1000000000000001</v>
      </c>
      <c r="J825" s="5">
        <v>1.4</v>
      </c>
      <c r="M825" s="5">
        <v>1</v>
      </c>
      <c r="N825" s="5">
        <v>1</v>
      </c>
      <c r="O825" s="5">
        <v>2</v>
      </c>
      <c r="P825" s="5" t="s">
        <v>315</v>
      </c>
    </row>
    <row r="826" spans="1:16" s="5" customFormat="1" ht="15.75" customHeight="1" x14ac:dyDescent="0.25">
      <c r="A826" s="6">
        <v>45048</v>
      </c>
      <c r="B826" s="5">
        <v>96</v>
      </c>
      <c r="C826" s="5">
        <v>10</v>
      </c>
      <c r="D826" s="5">
        <v>0.01</v>
      </c>
      <c r="E826" s="5">
        <v>7.0000000000000007E-2</v>
      </c>
      <c r="F826" s="5">
        <v>12.5</v>
      </c>
      <c r="G826" s="5">
        <v>0</v>
      </c>
      <c r="H826" s="5">
        <v>-0.5</v>
      </c>
      <c r="I826" s="5">
        <v>1.1000000000000001</v>
      </c>
      <c r="J826" s="5">
        <v>1.4</v>
      </c>
      <c r="M826" s="5">
        <v>1</v>
      </c>
      <c r="N826" s="5">
        <v>1</v>
      </c>
      <c r="O826" s="5">
        <v>2</v>
      </c>
      <c r="P826" s="5" t="s">
        <v>355</v>
      </c>
    </row>
    <row r="827" spans="1:16" s="5" customFormat="1" ht="15.75" customHeight="1" x14ac:dyDescent="0.25">
      <c r="A827" s="6">
        <v>45048</v>
      </c>
      <c r="B827" s="5">
        <v>96</v>
      </c>
      <c r="C827" s="5">
        <v>11</v>
      </c>
      <c r="D827" s="5">
        <v>0.01</v>
      </c>
      <c r="E827" s="5">
        <v>7.0000000000000007E-2</v>
      </c>
      <c r="F827" s="5">
        <v>12.5</v>
      </c>
      <c r="G827" s="5">
        <v>0</v>
      </c>
      <c r="H827" s="5">
        <v>-0.5</v>
      </c>
      <c r="I827" s="5">
        <v>1.1000000000000001</v>
      </c>
      <c r="J827" s="5">
        <v>1.4</v>
      </c>
      <c r="M827" s="5">
        <v>1</v>
      </c>
      <c r="N827" s="5">
        <v>1</v>
      </c>
      <c r="O827" s="5">
        <v>2</v>
      </c>
      <c r="P827" s="5" t="s">
        <v>352</v>
      </c>
    </row>
    <row r="828" spans="1:16" s="5" customFormat="1" ht="15.75" customHeight="1" x14ac:dyDescent="0.25">
      <c r="A828" s="6">
        <v>45048</v>
      </c>
      <c r="B828" s="5">
        <v>96</v>
      </c>
      <c r="C828" s="5">
        <v>12</v>
      </c>
      <c r="D828" s="5">
        <v>0.01</v>
      </c>
      <c r="E828" s="5">
        <v>7.0000000000000007E-2</v>
      </c>
      <c r="F828" s="5">
        <v>12.5</v>
      </c>
      <c r="G828" s="5">
        <v>0</v>
      </c>
      <c r="H828" s="5">
        <v>-0.5</v>
      </c>
      <c r="I828" s="5">
        <v>1.1000000000000001</v>
      </c>
      <c r="J828" s="5">
        <v>1.4</v>
      </c>
      <c r="M828" s="5">
        <v>1</v>
      </c>
      <c r="N828" s="5">
        <v>1</v>
      </c>
      <c r="O828" s="5">
        <v>2</v>
      </c>
      <c r="P828" s="5" t="s">
        <v>319</v>
      </c>
    </row>
    <row r="829" spans="1:16" s="5" customFormat="1" ht="15.75" customHeight="1" x14ac:dyDescent="0.25">
      <c r="A829" s="6">
        <v>45048</v>
      </c>
      <c r="B829" s="5">
        <v>96</v>
      </c>
      <c r="C829" s="5">
        <v>13</v>
      </c>
      <c r="D829" s="5">
        <v>0.01</v>
      </c>
      <c r="E829" s="5">
        <v>7.0000000000000007E-2</v>
      </c>
      <c r="F829" s="5">
        <v>12.5</v>
      </c>
      <c r="G829" s="5">
        <v>0</v>
      </c>
      <c r="H829" s="5">
        <v>-0.5</v>
      </c>
      <c r="I829" s="5">
        <v>1.1000000000000001</v>
      </c>
      <c r="J829" s="5">
        <v>1.4</v>
      </c>
      <c r="M829" s="5">
        <v>1</v>
      </c>
      <c r="N829" s="5">
        <v>1</v>
      </c>
      <c r="O829" s="5">
        <v>1.5</v>
      </c>
      <c r="P829" s="5" t="s">
        <v>320</v>
      </c>
    </row>
    <row r="830" spans="1:16" s="5" customFormat="1" ht="15.75" customHeight="1" x14ac:dyDescent="0.25">
      <c r="A830" s="6">
        <v>45048</v>
      </c>
      <c r="B830" s="5">
        <v>96</v>
      </c>
      <c r="C830" s="5">
        <v>14</v>
      </c>
      <c r="D830" s="5">
        <v>0.01</v>
      </c>
      <c r="E830" s="5">
        <v>7.0000000000000007E-2</v>
      </c>
      <c r="F830" s="5">
        <v>12.5</v>
      </c>
      <c r="G830" s="5">
        <v>0</v>
      </c>
      <c r="H830" s="5">
        <v>-0.5</v>
      </c>
      <c r="I830" s="5">
        <v>1.1000000000000001</v>
      </c>
      <c r="J830" s="5">
        <v>1.4</v>
      </c>
      <c r="M830" s="5">
        <v>1</v>
      </c>
      <c r="N830" s="5">
        <v>1</v>
      </c>
      <c r="O830" s="5">
        <v>2</v>
      </c>
      <c r="P830" s="5" t="s">
        <v>321</v>
      </c>
    </row>
    <row r="831" spans="1:16" s="5" customFormat="1" ht="15.75" customHeight="1" x14ac:dyDescent="0.25">
      <c r="A831" s="6">
        <v>45048</v>
      </c>
      <c r="B831" s="5">
        <v>96</v>
      </c>
      <c r="C831" s="5">
        <v>16</v>
      </c>
      <c r="D831" s="5">
        <v>0.01</v>
      </c>
      <c r="E831" s="5">
        <v>7.0000000000000007E-2</v>
      </c>
      <c r="F831" s="5">
        <v>12.5</v>
      </c>
      <c r="G831" s="5">
        <v>0</v>
      </c>
      <c r="H831" s="5">
        <v>-0.5</v>
      </c>
      <c r="I831" s="5">
        <v>1.1000000000000001</v>
      </c>
      <c r="J831" s="5">
        <v>1.4</v>
      </c>
      <c r="M831" s="5">
        <v>1</v>
      </c>
      <c r="N831" s="5">
        <v>1</v>
      </c>
      <c r="O831" s="5">
        <v>2</v>
      </c>
      <c r="P831" s="5" t="s">
        <v>316</v>
      </c>
    </row>
    <row r="832" spans="1:16" s="5" customFormat="1" ht="15.75" customHeight="1" x14ac:dyDescent="0.25">
      <c r="A832" s="6">
        <v>45048</v>
      </c>
      <c r="B832" s="5">
        <v>96</v>
      </c>
      <c r="C832" s="5">
        <v>18</v>
      </c>
      <c r="D832" s="5">
        <v>0.01</v>
      </c>
      <c r="E832" s="5">
        <v>7.0000000000000007E-2</v>
      </c>
      <c r="F832" s="5">
        <v>12.5</v>
      </c>
      <c r="G832" s="5">
        <v>0</v>
      </c>
      <c r="H832" s="5">
        <v>-0.5</v>
      </c>
      <c r="I832" s="5">
        <v>1.1000000000000001</v>
      </c>
      <c r="J832" s="5">
        <v>1.4</v>
      </c>
      <c r="M832" s="5">
        <v>1</v>
      </c>
      <c r="N832" s="5">
        <v>1</v>
      </c>
      <c r="O832" s="5">
        <v>2</v>
      </c>
      <c r="P832" s="5" t="s">
        <v>317</v>
      </c>
    </row>
    <row r="833" spans="1:16" s="5" customFormat="1" ht="15.75" customHeight="1" x14ac:dyDescent="0.25">
      <c r="A833" s="6">
        <v>45048</v>
      </c>
      <c r="B833" s="5">
        <v>96</v>
      </c>
      <c r="C833" s="5">
        <v>20</v>
      </c>
      <c r="D833" s="5">
        <v>0.01</v>
      </c>
      <c r="E833" s="5">
        <v>7.0000000000000007E-2</v>
      </c>
      <c r="F833" s="5">
        <v>12.5</v>
      </c>
      <c r="G833" s="5">
        <v>0</v>
      </c>
      <c r="H833" s="5">
        <v>-0.5</v>
      </c>
      <c r="I833" s="5">
        <v>1.1000000000000001</v>
      </c>
      <c r="J833" s="5">
        <v>1.4</v>
      </c>
      <c r="M833" s="5">
        <v>1</v>
      </c>
      <c r="N833" s="5">
        <v>1</v>
      </c>
      <c r="O833" s="5">
        <v>2</v>
      </c>
      <c r="P833" s="5" t="s">
        <v>318</v>
      </c>
    </row>
    <row r="834" spans="1:16" s="5" customFormat="1" x14ac:dyDescent="0.25">
      <c r="A834" s="6">
        <v>45049</v>
      </c>
      <c r="B834" s="5">
        <v>97</v>
      </c>
      <c r="C834" s="5">
        <v>2</v>
      </c>
      <c r="D834" s="5">
        <f t="shared" ref="D834:D1061" si="28">1/120</f>
        <v>8.3333333333333332E-3</v>
      </c>
      <c r="E834" s="5">
        <f t="shared" ref="E834:E1061" si="29">8/120</f>
        <v>6.6666666666666666E-2</v>
      </c>
      <c r="F834" s="5">
        <v>12.5</v>
      </c>
      <c r="G834" s="5">
        <v>0</v>
      </c>
      <c r="H834" s="5">
        <v>-2</v>
      </c>
      <c r="I834" s="5">
        <v>1.2</v>
      </c>
      <c r="J834" s="5">
        <v>0.5</v>
      </c>
      <c r="M834" s="5">
        <v>2</v>
      </c>
      <c r="N834" s="5">
        <v>1</v>
      </c>
      <c r="P834" s="5" t="s">
        <v>302</v>
      </c>
    </row>
    <row r="835" spans="1:16" s="5" customFormat="1" x14ac:dyDescent="0.25">
      <c r="A835" s="6">
        <v>45049</v>
      </c>
      <c r="B835" s="5">
        <v>97</v>
      </c>
      <c r="C835" s="5">
        <v>3</v>
      </c>
      <c r="D835" s="5">
        <f t="shared" si="28"/>
        <v>8.3333333333333332E-3</v>
      </c>
      <c r="E835" s="5">
        <f t="shared" si="29"/>
        <v>6.6666666666666666E-2</v>
      </c>
      <c r="F835" s="5">
        <v>12.5</v>
      </c>
      <c r="G835" s="5">
        <v>0</v>
      </c>
      <c r="H835" s="5">
        <v>-2</v>
      </c>
      <c r="I835" s="5">
        <v>1.2</v>
      </c>
      <c r="J835" s="5">
        <v>0.5</v>
      </c>
      <c r="M835" s="5">
        <v>2</v>
      </c>
      <c r="N835" s="5">
        <v>1</v>
      </c>
      <c r="P835" s="5" t="s">
        <v>332</v>
      </c>
    </row>
    <row r="836" spans="1:16" s="5" customFormat="1" x14ac:dyDescent="0.25">
      <c r="A836" s="6">
        <v>45049</v>
      </c>
      <c r="B836" s="5">
        <v>97</v>
      </c>
      <c r="C836" s="5">
        <v>5</v>
      </c>
      <c r="D836" s="5">
        <f t="shared" si="28"/>
        <v>8.3333333333333332E-3</v>
      </c>
      <c r="E836" s="5">
        <f t="shared" si="29"/>
        <v>6.6666666666666666E-2</v>
      </c>
      <c r="F836" s="5">
        <v>12.5</v>
      </c>
      <c r="G836" s="5">
        <v>0</v>
      </c>
      <c r="H836" s="5">
        <v>-2</v>
      </c>
      <c r="I836" s="5">
        <v>1.2</v>
      </c>
      <c r="J836" s="5">
        <v>0.5</v>
      </c>
      <c r="M836" s="5">
        <v>2</v>
      </c>
      <c r="N836" s="5">
        <v>1</v>
      </c>
      <c r="P836" s="5" t="s">
        <v>333</v>
      </c>
    </row>
    <row r="837" spans="1:16" s="5" customFormat="1" x14ac:dyDescent="0.25">
      <c r="A837" s="6">
        <v>45049</v>
      </c>
      <c r="B837" s="5">
        <v>97</v>
      </c>
      <c r="C837" s="5">
        <v>6</v>
      </c>
      <c r="D837" s="5">
        <f t="shared" si="28"/>
        <v>8.3333333333333332E-3</v>
      </c>
      <c r="E837" s="5">
        <f t="shared" si="29"/>
        <v>6.6666666666666666E-2</v>
      </c>
      <c r="F837" s="5">
        <v>12.5</v>
      </c>
      <c r="G837" s="5">
        <v>0</v>
      </c>
      <c r="H837" s="5">
        <v>-2</v>
      </c>
      <c r="I837" s="5">
        <v>1.2</v>
      </c>
      <c r="J837" s="5">
        <v>0.5</v>
      </c>
      <c r="M837" s="5">
        <v>2</v>
      </c>
      <c r="N837" s="5">
        <v>1</v>
      </c>
      <c r="P837" s="5" t="s">
        <v>392</v>
      </c>
    </row>
    <row r="838" spans="1:16" s="5" customFormat="1" x14ac:dyDescent="0.25">
      <c r="A838" s="6">
        <v>45049</v>
      </c>
      <c r="B838" s="5">
        <v>97</v>
      </c>
      <c r="C838" s="5">
        <v>8</v>
      </c>
      <c r="D838" s="5">
        <f t="shared" si="28"/>
        <v>8.3333333333333332E-3</v>
      </c>
      <c r="E838" s="5">
        <f t="shared" si="29"/>
        <v>6.6666666666666666E-2</v>
      </c>
      <c r="F838" s="5">
        <v>12.5</v>
      </c>
      <c r="G838" s="5">
        <v>0</v>
      </c>
      <c r="H838" s="5">
        <v>-2</v>
      </c>
      <c r="I838" s="5">
        <v>1.2</v>
      </c>
      <c r="J838" s="5">
        <v>0.5</v>
      </c>
      <c r="M838" s="5">
        <v>2</v>
      </c>
      <c r="N838" s="5">
        <v>1</v>
      </c>
      <c r="P838" s="5" t="s">
        <v>393</v>
      </c>
    </row>
    <row r="839" spans="1:16" s="5" customFormat="1" x14ac:dyDescent="0.25">
      <c r="A839" s="6">
        <v>45049</v>
      </c>
      <c r="B839" s="5">
        <v>97</v>
      </c>
      <c r="C839" s="5">
        <v>9</v>
      </c>
      <c r="D839" s="5">
        <f t="shared" si="28"/>
        <v>8.3333333333333332E-3</v>
      </c>
      <c r="E839" s="5">
        <f t="shared" si="29"/>
        <v>6.6666666666666666E-2</v>
      </c>
      <c r="F839" s="5">
        <v>12.5</v>
      </c>
      <c r="G839" s="5">
        <v>0</v>
      </c>
      <c r="H839" s="5">
        <v>-2</v>
      </c>
      <c r="I839" s="5">
        <v>1.2</v>
      </c>
      <c r="J839" s="5">
        <v>0.5</v>
      </c>
      <c r="M839" s="5">
        <v>2</v>
      </c>
      <c r="N839" s="5">
        <v>1</v>
      </c>
      <c r="P839" s="5" t="s">
        <v>337</v>
      </c>
    </row>
    <row r="840" spans="1:16" s="5" customFormat="1" x14ac:dyDescent="0.25">
      <c r="A840" s="6">
        <v>45049</v>
      </c>
      <c r="B840" s="5">
        <v>98</v>
      </c>
      <c r="C840" s="5">
        <v>11</v>
      </c>
      <c r="D840" s="5">
        <f t="shared" si="28"/>
        <v>8.3333333333333332E-3</v>
      </c>
      <c r="E840" s="5">
        <f t="shared" si="29"/>
        <v>6.6666666666666666E-2</v>
      </c>
      <c r="F840" s="5">
        <v>12.5</v>
      </c>
      <c r="G840" s="5">
        <v>0</v>
      </c>
      <c r="H840" s="5">
        <v>-2</v>
      </c>
      <c r="I840" s="5">
        <v>1.2</v>
      </c>
      <c r="J840" s="5">
        <v>0.5</v>
      </c>
      <c r="M840" s="5">
        <v>2</v>
      </c>
      <c r="N840" s="5">
        <v>1</v>
      </c>
      <c r="P840" s="5" t="s">
        <v>332</v>
      </c>
    </row>
    <row r="841" spans="1:16" s="5" customFormat="1" x14ac:dyDescent="0.25">
      <c r="A841" s="6">
        <v>45049</v>
      </c>
      <c r="B841" s="5">
        <v>98</v>
      </c>
      <c r="C841" s="5">
        <v>13</v>
      </c>
      <c r="D841" s="5">
        <f t="shared" si="28"/>
        <v>8.3333333333333332E-3</v>
      </c>
      <c r="E841" s="5">
        <f t="shared" si="29"/>
        <v>6.6666666666666666E-2</v>
      </c>
      <c r="F841" s="5">
        <v>12.5</v>
      </c>
      <c r="G841" s="5">
        <v>0</v>
      </c>
      <c r="H841" s="5">
        <v>-2</v>
      </c>
      <c r="I841" s="5">
        <v>1.2</v>
      </c>
      <c r="J841" s="5">
        <v>0.5</v>
      </c>
      <c r="M841" s="5">
        <v>2</v>
      </c>
      <c r="N841" s="5">
        <v>1</v>
      </c>
      <c r="P841" s="5" t="s">
        <v>333</v>
      </c>
    </row>
    <row r="842" spans="1:16" s="5" customFormat="1" x14ac:dyDescent="0.25">
      <c r="A842" s="6">
        <v>45049</v>
      </c>
      <c r="B842" s="5">
        <v>98</v>
      </c>
      <c r="C842" s="5">
        <v>14</v>
      </c>
      <c r="D842" s="5">
        <f t="shared" si="28"/>
        <v>8.3333333333333332E-3</v>
      </c>
      <c r="E842" s="5">
        <f t="shared" si="29"/>
        <v>6.6666666666666666E-2</v>
      </c>
      <c r="F842" s="5">
        <v>12.5</v>
      </c>
      <c r="G842" s="5">
        <v>0</v>
      </c>
      <c r="H842" s="5">
        <v>-2</v>
      </c>
      <c r="I842" s="5">
        <v>1.2</v>
      </c>
      <c r="J842" s="5">
        <v>0.5</v>
      </c>
      <c r="M842" s="5">
        <v>2</v>
      </c>
      <c r="N842" s="5">
        <v>1</v>
      </c>
      <c r="P842" s="5" t="s">
        <v>392</v>
      </c>
    </row>
    <row r="843" spans="1:16" s="5" customFormat="1" x14ac:dyDescent="0.25">
      <c r="A843" s="6">
        <v>45049</v>
      </c>
      <c r="B843" s="5">
        <v>98</v>
      </c>
      <c r="C843" s="5">
        <v>16</v>
      </c>
      <c r="D843" s="5">
        <f t="shared" si="28"/>
        <v>8.3333333333333332E-3</v>
      </c>
      <c r="E843" s="5">
        <f t="shared" si="29"/>
        <v>6.6666666666666666E-2</v>
      </c>
      <c r="F843" s="5">
        <v>12.5</v>
      </c>
      <c r="G843" s="5">
        <v>0</v>
      </c>
      <c r="H843" s="5">
        <v>-2</v>
      </c>
      <c r="I843" s="5">
        <v>1.2</v>
      </c>
      <c r="J843" s="5">
        <v>0.5</v>
      </c>
      <c r="M843" s="5">
        <v>2</v>
      </c>
      <c r="N843" s="5">
        <v>1</v>
      </c>
      <c r="P843" s="5" t="s">
        <v>393</v>
      </c>
    </row>
    <row r="844" spans="1:16" s="5" customFormat="1" x14ac:dyDescent="0.25">
      <c r="A844" s="6">
        <v>45049</v>
      </c>
      <c r="B844" s="5">
        <v>98</v>
      </c>
      <c r="C844" s="5">
        <v>17</v>
      </c>
      <c r="D844" s="5">
        <f t="shared" si="28"/>
        <v>8.3333333333333332E-3</v>
      </c>
      <c r="E844" s="5">
        <f t="shared" si="29"/>
        <v>6.6666666666666666E-2</v>
      </c>
      <c r="F844" s="5">
        <v>12.5</v>
      </c>
      <c r="G844" s="5">
        <v>0</v>
      </c>
      <c r="H844" s="5">
        <v>-2</v>
      </c>
      <c r="I844" s="5">
        <v>1.2</v>
      </c>
      <c r="J844" s="5">
        <v>0.5</v>
      </c>
      <c r="M844" s="5">
        <v>2</v>
      </c>
      <c r="N844" s="5">
        <v>1</v>
      </c>
      <c r="P844" s="5" t="s">
        <v>330</v>
      </c>
    </row>
    <row r="845" spans="1:16" s="5" customFormat="1" x14ac:dyDescent="0.25">
      <c r="A845" s="6">
        <v>45049</v>
      </c>
      <c r="B845" s="5">
        <v>98</v>
      </c>
      <c r="C845" s="5">
        <v>18</v>
      </c>
      <c r="D845" s="5">
        <f t="shared" si="28"/>
        <v>8.3333333333333332E-3</v>
      </c>
      <c r="E845" s="5">
        <f t="shared" si="29"/>
        <v>6.6666666666666666E-2</v>
      </c>
      <c r="F845" s="5">
        <v>12.5</v>
      </c>
      <c r="G845" s="5">
        <v>0</v>
      </c>
      <c r="H845" s="5">
        <v>-2</v>
      </c>
      <c r="I845" s="5">
        <v>1.2</v>
      </c>
      <c r="J845" s="5">
        <v>0.5</v>
      </c>
      <c r="M845" s="5">
        <v>2</v>
      </c>
      <c r="N845" s="5">
        <v>1</v>
      </c>
      <c r="P845" s="5" t="s">
        <v>331</v>
      </c>
    </row>
    <row r="846" spans="1:16" s="5" customFormat="1" x14ac:dyDescent="0.25">
      <c r="A846" s="6">
        <v>45049</v>
      </c>
      <c r="B846" s="5">
        <v>98</v>
      </c>
      <c r="C846" s="5">
        <v>19</v>
      </c>
      <c r="D846" s="5">
        <f t="shared" si="28"/>
        <v>8.3333333333333332E-3</v>
      </c>
      <c r="E846" s="5">
        <f t="shared" si="29"/>
        <v>6.6666666666666666E-2</v>
      </c>
      <c r="F846" s="5">
        <v>12.5</v>
      </c>
      <c r="G846" s="5">
        <v>0</v>
      </c>
      <c r="H846" s="5">
        <v>-2</v>
      </c>
      <c r="I846" s="5">
        <v>1.2</v>
      </c>
      <c r="J846" s="5">
        <v>0.5</v>
      </c>
      <c r="M846" s="5">
        <v>2</v>
      </c>
      <c r="N846" s="5">
        <v>1</v>
      </c>
      <c r="P846" s="5" t="s">
        <v>338</v>
      </c>
    </row>
    <row r="847" spans="1:16" s="5" customFormat="1" x14ac:dyDescent="0.25">
      <c r="A847" s="6">
        <v>45049</v>
      </c>
      <c r="B847" s="5">
        <v>98</v>
      </c>
      <c r="C847" s="5">
        <v>20</v>
      </c>
      <c r="D847" s="5">
        <f t="shared" si="28"/>
        <v>8.3333333333333332E-3</v>
      </c>
      <c r="E847" s="5">
        <f t="shared" si="29"/>
        <v>6.6666666666666666E-2</v>
      </c>
      <c r="F847" s="5">
        <v>12.5</v>
      </c>
      <c r="G847" s="5">
        <v>0</v>
      </c>
      <c r="H847" s="5">
        <v>-2</v>
      </c>
      <c r="I847" s="5">
        <v>1.2</v>
      </c>
      <c r="J847" s="5">
        <v>0.5</v>
      </c>
      <c r="M847" s="5">
        <v>2</v>
      </c>
      <c r="N847" s="5">
        <v>1</v>
      </c>
      <c r="P847" s="5" t="s">
        <v>302</v>
      </c>
    </row>
    <row r="848" spans="1:16" s="5" customFormat="1" x14ac:dyDescent="0.25">
      <c r="A848" s="6">
        <v>45061</v>
      </c>
      <c r="B848" s="5">
        <v>99</v>
      </c>
      <c r="C848" s="5">
        <v>2</v>
      </c>
      <c r="D848" s="5">
        <f t="shared" si="28"/>
        <v>8.3333333333333332E-3</v>
      </c>
      <c r="E848" s="5">
        <f t="shared" si="29"/>
        <v>6.6666666666666666E-2</v>
      </c>
      <c r="F848" s="5">
        <v>12.5</v>
      </c>
      <c r="G848" s="5">
        <v>0</v>
      </c>
      <c r="H848" s="5">
        <v>-2</v>
      </c>
      <c r="I848" s="5">
        <v>1.2</v>
      </c>
      <c r="J848" s="5">
        <v>0.5</v>
      </c>
      <c r="M848" s="5">
        <v>2</v>
      </c>
      <c r="N848" s="5">
        <v>1</v>
      </c>
      <c r="P848" s="5" t="s">
        <v>302</v>
      </c>
    </row>
    <row r="849" spans="1:16" s="5" customFormat="1" x14ac:dyDescent="0.25">
      <c r="A849" s="6">
        <v>45061</v>
      </c>
      <c r="B849" s="5">
        <v>99</v>
      </c>
      <c r="C849" s="5">
        <v>3</v>
      </c>
      <c r="D849" s="5">
        <f t="shared" si="28"/>
        <v>8.3333333333333332E-3</v>
      </c>
      <c r="E849" s="5">
        <f t="shared" si="29"/>
        <v>6.6666666666666666E-2</v>
      </c>
      <c r="F849" s="5">
        <v>12.5</v>
      </c>
      <c r="G849" s="5">
        <v>0</v>
      </c>
      <c r="H849" s="5">
        <v>-2</v>
      </c>
      <c r="I849" s="5">
        <v>1.2</v>
      </c>
      <c r="J849" s="5">
        <v>0.5</v>
      </c>
      <c r="M849" s="5">
        <v>2</v>
      </c>
      <c r="N849" s="5">
        <v>1</v>
      </c>
      <c r="P849" s="5" t="s">
        <v>368</v>
      </c>
    </row>
    <row r="850" spans="1:16" s="5" customFormat="1" x14ac:dyDescent="0.25">
      <c r="A850" s="6">
        <v>45061</v>
      </c>
      <c r="B850" s="5">
        <v>99</v>
      </c>
      <c r="C850" s="5">
        <v>4</v>
      </c>
      <c r="D850" s="5">
        <f t="shared" si="28"/>
        <v>8.3333333333333332E-3</v>
      </c>
      <c r="E850" s="5">
        <f t="shared" si="29"/>
        <v>6.6666666666666666E-2</v>
      </c>
      <c r="F850" s="5">
        <v>12.5</v>
      </c>
      <c r="G850" s="5">
        <v>0</v>
      </c>
      <c r="H850" s="5">
        <v>-2</v>
      </c>
      <c r="I850" s="5">
        <v>1.2</v>
      </c>
      <c r="J850" s="5">
        <v>0.5</v>
      </c>
      <c r="M850" s="5">
        <v>2</v>
      </c>
      <c r="N850" s="5">
        <v>1</v>
      </c>
      <c r="P850" s="5" t="s">
        <v>369</v>
      </c>
    </row>
    <row r="851" spans="1:16" s="5" customFormat="1" x14ac:dyDescent="0.25">
      <c r="A851" s="6">
        <v>45061</v>
      </c>
      <c r="B851" s="5">
        <v>99</v>
      </c>
      <c r="C851" s="5">
        <v>5</v>
      </c>
      <c r="D851" s="5">
        <f t="shared" si="28"/>
        <v>8.3333333333333332E-3</v>
      </c>
      <c r="E851" s="5">
        <f t="shared" si="29"/>
        <v>6.6666666666666666E-2</v>
      </c>
      <c r="F851" s="5">
        <v>12.5</v>
      </c>
      <c r="G851" s="5">
        <v>0</v>
      </c>
      <c r="H851" s="5">
        <v>-2</v>
      </c>
      <c r="I851" s="5">
        <v>1.2</v>
      </c>
      <c r="J851" s="5">
        <v>0.5</v>
      </c>
      <c r="M851" s="5">
        <v>2</v>
      </c>
      <c r="N851" s="5">
        <v>1</v>
      </c>
      <c r="P851" s="5" t="s">
        <v>370</v>
      </c>
    </row>
    <row r="852" spans="1:16" s="5" customFormat="1" x14ac:dyDescent="0.25">
      <c r="A852" s="6">
        <v>45061</v>
      </c>
      <c r="B852" s="5">
        <v>99</v>
      </c>
      <c r="C852" s="5">
        <v>6</v>
      </c>
      <c r="D852" s="5">
        <f t="shared" si="28"/>
        <v>8.3333333333333332E-3</v>
      </c>
      <c r="E852" s="5">
        <f t="shared" si="29"/>
        <v>6.6666666666666666E-2</v>
      </c>
      <c r="F852" s="5">
        <v>12.5</v>
      </c>
      <c r="G852" s="5">
        <v>0</v>
      </c>
      <c r="H852" s="5">
        <v>-2</v>
      </c>
      <c r="I852" s="5">
        <v>1.2</v>
      </c>
      <c r="J852" s="5">
        <v>0.5</v>
      </c>
      <c r="M852" s="5">
        <v>2</v>
      </c>
      <c r="N852" s="5">
        <v>1</v>
      </c>
      <c r="P852" s="5" t="s">
        <v>369</v>
      </c>
    </row>
    <row r="853" spans="1:16" s="5" customFormat="1" x14ac:dyDescent="0.25">
      <c r="A853" s="6">
        <v>45061</v>
      </c>
      <c r="B853" s="5">
        <v>99</v>
      </c>
      <c r="C853" s="5">
        <v>7</v>
      </c>
      <c r="D853" s="5">
        <f t="shared" si="28"/>
        <v>8.3333333333333332E-3</v>
      </c>
      <c r="E853" s="5">
        <f t="shared" si="29"/>
        <v>6.6666666666666666E-2</v>
      </c>
      <c r="F853" s="5">
        <v>12.5</v>
      </c>
      <c r="G853" s="5">
        <v>0</v>
      </c>
      <c r="H853" s="5">
        <v>-2</v>
      </c>
      <c r="I853" s="5">
        <v>1.2</v>
      </c>
      <c r="J853" s="5">
        <v>0.5</v>
      </c>
      <c r="M853" s="5">
        <v>2</v>
      </c>
      <c r="N853" s="5">
        <v>1</v>
      </c>
      <c r="P853" s="5" t="s">
        <v>370</v>
      </c>
    </row>
    <row r="854" spans="1:16" s="5" customFormat="1" x14ac:dyDescent="0.25">
      <c r="A854" s="6">
        <v>45061</v>
      </c>
      <c r="B854" s="5">
        <v>99</v>
      </c>
      <c r="C854" s="5">
        <v>9</v>
      </c>
      <c r="D854" s="5">
        <f t="shared" si="28"/>
        <v>8.3333333333333332E-3</v>
      </c>
      <c r="E854" s="5">
        <f t="shared" si="29"/>
        <v>6.6666666666666666E-2</v>
      </c>
      <c r="F854" s="5">
        <v>12.5</v>
      </c>
      <c r="G854" s="5">
        <v>0</v>
      </c>
      <c r="H854" s="5">
        <v>-2</v>
      </c>
      <c r="I854" s="5">
        <v>1.2</v>
      </c>
      <c r="J854" s="5">
        <v>0.5</v>
      </c>
      <c r="M854" s="5">
        <v>2</v>
      </c>
      <c r="N854" s="5">
        <v>1</v>
      </c>
      <c r="P854" s="5" t="s">
        <v>371</v>
      </c>
    </row>
    <row r="855" spans="1:16" s="5" customFormat="1" x14ac:dyDescent="0.25">
      <c r="A855" s="6">
        <v>45061</v>
      </c>
      <c r="B855" s="5">
        <v>99</v>
      </c>
      <c r="C855" s="5">
        <v>10</v>
      </c>
      <c r="D855" s="5">
        <f t="shared" si="28"/>
        <v>8.3333333333333332E-3</v>
      </c>
      <c r="E855" s="5">
        <f t="shared" si="29"/>
        <v>6.6666666666666666E-2</v>
      </c>
      <c r="F855" s="5">
        <v>12.5</v>
      </c>
      <c r="G855" s="5">
        <v>0</v>
      </c>
      <c r="H855" s="5">
        <v>-2</v>
      </c>
      <c r="I855" s="5">
        <v>1.2</v>
      </c>
      <c r="J855" s="5">
        <v>0.5</v>
      </c>
      <c r="M855" s="5">
        <v>2</v>
      </c>
      <c r="N855" s="5">
        <v>1</v>
      </c>
      <c r="P855" s="5" t="s">
        <v>372</v>
      </c>
    </row>
    <row r="856" spans="1:16" s="5" customFormat="1" x14ac:dyDescent="0.25">
      <c r="A856" s="6">
        <v>45061</v>
      </c>
      <c r="B856" s="5">
        <v>99</v>
      </c>
      <c r="C856" s="5">
        <v>11</v>
      </c>
      <c r="D856" s="5">
        <f t="shared" si="28"/>
        <v>8.3333333333333332E-3</v>
      </c>
      <c r="E856" s="5">
        <f t="shared" si="29"/>
        <v>6.6666666666666666E-2</v>
      </c>
      <c r="F856" s="5">
        <v>12.5</v>
      </c>
      <c r="G856" s="5">
        <v>0</v>
      </c>
      <c r="H856" s="5">
        <v>-2</v>
      </c>
      <c r="I856" s="5">
        <v>1.2</v>
      </c>
      <c r="J856" s="5">
        <v>0.5</v>
      </c>
      <c r="M856" s="5">
        <v>2</v>
      </c>
      <c r="N856" s="5">
        <v>1</v>
      </c>
      <c r="P856" s="5" t="s">
        <v>373</v>
      </c>
    </row>
    <row r="857" spans="1:16" s="5" customFormat="1" x14ac:dyDescent="0.25">
      <c r="A857" s="6">
        <v>45061</v>
      </c>
      <c r="B857" s="5">
        <v>99</v>
      </c>
      <c r="C857" s="5">
        <v>12</v>
      </c>
      <c r="D857" s="5">
        <f t="shared" si="28"/>
        <v>8.3333333333333332E-3</v>
      </c>
      <c r="E857" s="5">
        <f t="shared" si="29"/>
        <v>6.6666666666666666E-2</v>
      </c>
      <c r="F857" s="5">
        <v>12.5</v>
      </c>
      <c r="G857" s="5">
        <v>0</v>
      </c>
      <c r="H857" s="5">
        <v>-2</v>
      </c>
      <c r="I857" s="5">
        <v>1.2</v>
      </c>
      <c r="J857" s="5">
        <v>0.5</v>
      </c>
      <c r="M857" s="5">
        <v>2</v>
      </c>
      <c r="N857" s="5">
        <v>1</v>
      </c>
      <c r="P857" s="5" t="s">
        <v>374</v>
      </c>
    </row>
    <row r="858" spans="1:16" s="5" customFormat="1" x14ac:dyDescent="0.25">
      <c r="A858" s="6">
        <v>45061</v>
      </c>
      <c r="B858" s="5">
        <v>99</v>
      </c>
      <c r="C858" s="5">
        <v>13</v>
      </c>
      <c r="D858" s="5">
        <f t="shared" si="28"/>
        <v>8.3333333333333332E-3</v>
      </c>
      <c r="E858" s="5">
        <f t="shared" si="29"/>
        <v>6.6666666666666666E-2</v>
      </c>
      <c r="F858" s="5">
        <v>12.5</v>
      </c>
      <c r="G858" s="5">
        <v>0</v>
      </c>
      <c r="H858" s="5">
        <v>-2</v>
      </c>
      <c r="I858" s="5">
        <v>1.2</v>
      </c>
      <c r="J858" s="5">
        <v>0.5</v>
      </c>
      <c r="M858" s="5">
        <v>2</v>
      </c>
      <c r="N858" s="5">
        <v>1</v>
      </c>
      <c r="P858" s="5" t="s">
        <v>396</v>
      </c>
    </row>
    <row r="859" spans="1:16" s="5" customFormat="1" x14ac:dyDescent="0.25">
      <c r="A859" s="6">
        <v>45061</v>
      </c>
      <c r="B859" s="5">
        <v>99</v>
      </c>
      <c r="C859" s="5">
        <v>14</v>
      </c>
      <c r="D859" s="5">
        <f t="shared" si="28"/>
        <v>8.3333333333333332E-3</v>
      </c>
      <c r="E859" s="5">
        <f t="shared" si="29"/>
        <v>6.6666666666666666E-2</v>
      </c>
      <c r="F859" s="5">
        <v>12.5</v>
      </c>
      <c r="G859" s="5">
        <v>0</v>
      </c>
      <c r="H859" s="5">
        <v>-2</v>
      </c>
      <c r="I859" s="5">
        <v>1.2</v>
      </c>
      <c r="J859" s="5">
        <v>0.5</v>
      </c>
      <c r="M859" s="5">
        <v>2</v>
      </c>
      <c r="N859" s="5">
        <v>1</v>
      </c>
      <c r="P859" s="5" t="s">
        <v>369</v>
      </c>
    </row>
    <row r="860" spans="1:16" s="5" customFormat="1" x14ac:dyDescent="0.25">
      <c r="A860" s="6">
        <v>45061</v>
      </c>
      <c r="B860" s="5">
        <v>99</v>
      </c>
      <c r="C860" s="5">
        <v>15</v>
      </c>
      <c r="D860" s="5">
        <f t="shared" si="28"/>
        <v>8.3333333333333332E-3</v>
      </c>
      <c r="E860" s="5">
        <f t="shared" si="29"/>
        <v>6.6666666666666666E-2</v>
      </c>
      <c r="F860" s="5">
        <v>12.5</v>
      </c>
      <c r="G860" s="5">
        <v>0</v>
      </c>
      <c r="H860" s="5">
        <v>-2</v>
      </c>
      <c r="I860" s="5">
        <v>1.2</v>
      </c>
      <c r="J860" s="5">
        <v>0.5</v>
      </c>
      <c r="M860" s="5">
        <v>2</v>
      </c>
      <c r="N860" s="5">
        <v>1</v>
      </c>
      <c r="P860" s="5" t="s">
        <v>370</v>
      </c>
    </row>
    <row r="861" spans="1:16" s="5" customFormat="1" x14ac:dyDescent="0.25">
      <c r="A861" s="6">
        <v>45061</v>
      </c>
      <c r="B861" s="5">
        <v>99</v>
      </c>
      <c r="C861" s="5">
        <v>16</v>
      </c>
      <c r="D861" s="5">
        <f t="shared" si="28"/>
        <v>8.3333333333333332E-3</v>
      </c>
      <c r="E861" s="5">
        <f t="shared" si="29"/>
        <v>6.6666666666666666E-2</v>
      </c>
      <c r="F861" s="5">
        <v>12.5</v>
      </c>
      <c r="G861" s="5">
        <v>0</v>
      </c>
      <c r="H861" s="5">
        <v>-2</v>
      </c>
      <c r="I861" s="5">
        <v>1.2</v>
      </c>
      <c r="J861" s="5">
        <v>0.5</v>
      </c>
      <c r="M861" s="5">
        <v>2</v>
      </c>
      <c r="N861" s="5">
        <v>1</v>
      </c>
      <c r="P861" s="5" t="s">
        <v>368</v>
      </c>
    </row>
    <row r="862" spans="1:16" s="5" customFormat="1" x14ac:dyDescent="0.25">
      <c r="A862" s="6">
        <v>45061</v>
      </c>
      <c r="B862" s="5">
        <v>99</v>
      </c>
      <c r="C862" s="5">
        <v>17</v>
      </c>
      <c r="D862" s="5">
        <f t="shared" si="28"/>
        <v>8.3333333333333332E-3</v>
      </c>
      <c r="E862" s="5">
        <f t="shared" si="29"/>
        <v>6.6666666666666666E-2</v>
      </c>
      <c r="F862" s="5">
        <v>12.5</v>
      </c>
      <c r="G862" s="5">
        <v>0</v>
      </c>
      <c r="H862" s="5">
        <v>-2</v>
      </c>
      <c r="I862" s="5">
        <v>1.2</v>
      </c>
      <c r="J862" s="5">
        <v>0.5</v>
      </c>
      <c r="M862" s="5">
        <v>2</v>
      </c>
      <c r="N862" s="5">
        <v>1</v>
      </c>
      <c r="P862" s="5" t="s">
        <v>375</v>
      </c>
    </row>
    <row r="863" spans="1:16" s="5" customFormat="1" x14ac:dyDescent="0.25">
      <c r="A863" s="6">
        <v>45061</v>
      </c>
      <c r="B863" s="5">
        <v>99</v>
      </c>
      <c r="C863" s="5">
        <v>18</v>
      </c>
      <c r="D863" s="5">
        <f t="shared" si="28"/>
        <v>8.3333333333333332E-3</v>
      </c>
      <c r="E863" s="5">
        <f t="shared" si="29"/>
        <v>6.6666666666666666E-2</v>
      </c>
      <c r="F863" s="5">
        <v>12.5</v>
      </c>
      <c r="G863" s="5">
        <v>0</v>
      </c>
      <c r="H863" s="5">
        <v>-2</v>
      </c>
      <c r="I863" s="5">
        <v>1.2</v>
      </c>
      <c r="J863" s="5">
        <v>0.5</v>
      </c>
      <c r="M863" s="5">
        <v>2</v>
      </c>
      <c r="N863" s="5">
        <v>1</v>
      </c>
      <c r="P863" s="5" t="s">
        <v>397</v>
      </c>
    </row>
    <row r="864" spans="1:16" x14ac:dyDescent="0.25">
      <c r="A864" s="1">
        <v>45195</v>
      </c>
      <c r="B864">
        <v>100</v>
      </c>
      <c r="C864">
        <v>3</v>
      </c>
      <c r="D864" s="5">
        <f t="shared" si="28"/>
        <v>8.3333333333333332E-3</v>
      </c>
      <c r="E864" s="5">
        <f t="shared" si="29"/>
        <v>6.6666666666666666E-2</v>
      </c>
      <c r="F864" s="5">
        <v>12.5</v>
      </c>
      <c r="G864" s="5">
        <v>0</v>
      </c>
      <c r="H864" s="5">
        <v>1</v>
      </c>
      <c r="I864" s="5">
        <v>1</v>
      </c>
      <c r="J864" s="5">
        <v>0.5</v>
      </c>
      <c r="M864">
        <v>2</v>
      </c>
      <c r="N864">
        <v>1</v>
      </c>
      <c r="P864" t="s">
        <v>376</v>
      </c>
    </row>
    <row r="865" spans="1:16" s="5" customFormat="1" x14ac:dyDescent="0.25">
      <c r="A865" s="6">
        <v>45195</v>
      </c>
      <c r="B865" s="5">
        <v>100</v>
      </c>
      <c r="C865" s="5">
        <v>5</v>
      </c>
      <c r="D865" s="5">
        <f t="shared" si="28"/>
        <v>8.3333333333333332E-3</v>
      </c>
      <c r="E865" s="5">
        <f t="shared" si="29"/>
        <v>6.6666666666666666E-2</v>
      </c>
      <c r="F865" s="5">
        <v>12.5</v>
      </c>
      <c r="G865" s="5">
        <v>0</v>
      </c>
      <c r="H865" s="5">
        <v>-2</v>
      </c>
      <c r="I865" s="5">
        <v>1.2</v>
      </c>
      <c r="J865" s="5">
        <v>0.5</v>
      </c>
      <c r="M865" s="5">
        <v>2</v>
      </c>
      <c r="N865" s="5">
        <v>1</v>
      </c>
      <c r="P865" s="5" t="s">
        <v>377</v>
      </c>
    </row>
    <row r="866" spans="1:16" s="5" customFormat="1" x14ac:dyDescent="0.25">
      <c r="A866" s="6">
        <v>45195</v>
      </c>
      <c r="B866" s="5">
        <v>100</v>
      </c>
      <c r="C866" s="5">
        <v>6</v>
      </c>
      <c r="D866" s="5">
        <f t="shared" si="28"/>
        <v>8.3333333333333332E-3</v>
      </c>
      <c r="E866" s="5">
        <f t="shared" si="29"/>
        <v>6.6666666666666666E-2</v>
      </c>
      <c r="F866" s="5">
        <v>12.5</v>
      </c>
      <c r="G866" s="5">
        <v>0</v>
      </c>
      <c r="H866" s="5">
        <v>-2</v>
      </c>
      <c r="I866" s="5">
        <v>1.2</v>
      </c>
      <c r="J866" s="5">
        <v>0.5</v>
      </c>
      <c r="M866" s="5">
        <v>2</v>
      </c>
      <c r="N866" s="5">
        <v>1</v>
      </c>
      <c r="P866" s="5" t="s">
        <v>378</v>
      </c>
    </row>
    <row r="867" spans="1:16" s="5" customFormat="1" x14ac:dyDescent="0.25">
      <c r="A867" s="6">
        <v>45196</v>
      </c>
      <c r="B867" s="5">
        <v>101</v>
      </c>
      <c r="C867" s="5">
        <v>2</v>
      </c>
      <c r="D867" s="5">
        <f t="shared" si="28"/>
        <v>8.3333333333333332E-3</v>
      </c>
      <c r="E867" s="5">
        <f t="shared" si="29"/>
        <v>6.6666666666666666E-2</v>
      </c>
      <c r="F867" s="5">
        <v>12.5</v>
      </c>
      <c r="G867" s="5">
        <v>0</v>
      </c>
      <c r="H867" s="5">
        <v>1</v>
      </c>
      <c r="I867" s="5">
        <v>1</v>
      </c>
      <c r="J867" s="5">
        <v>0.5</v>
      </c>
      <c r="M867" s="5">
        <v>2</v>
      </c>
      <c r="N867" s="5">
        <v>1</v>
      </c>
      <c r="P867" s="5" t="s">
        <v>376</v>
      </c>
    </row>
    <row r="868" spans="1:16" s="5" customFormat="1" x14ac:dyDescent="0.25">
      <c r="A868" s="6">
        <v>45196</v>
      </c>
      <c r="B868" s="5">
        <v>101</v>
      </c>
      <c r="C868" s="5">
        <v>4</v>
      </c>
      <c r="D868" s="5">
        <f t="shared" si="28"/>
        <v>8.3333333333333332E-3</v>
      </c>
      <c r="E868" s="5">
        <f t="shared" si="29"/>
        <v>6.6666666666666666E-2</v>
      </c>
      <c r="F868" s="5">
        <v>12.5</v>
      </c>
      <c r="G868" s="5">
        <v>0</v>
      </c>
      <c r="H868" s="5">
        <v>-2</v>
      </c>
      <c r="I868" s="5">
        <v>1.2</v>
      </c>
      <c r="J868" s="5">
        <v>0.5</v>
      </c>
      <c r="M868" s="5">
        <v>2</v>
      </c>
      <c r="N868" s="5">
        <v>1</v>
      </c>
      <c r="P868" s="5" t="s">
        <v>377</v>
      </c>
    </row>
    <row r="869" spans="1:16" s="5" customFormat="1" x14ac:dyDescent="0.25">
      <c r="A869" s="6">
        <v>45196</v>
      </c>
      <c r="B869" s="5">
        <v>101</v>
      </c>
      <c r="C869" s="5">
        <v>5</v>
      </c>
      <c r="D869" s="5">
        <f t="shared" si="28"/>
        <v>8.3333333333333332E-3</v>
      </c>
      <c r="E869" s="5">
        <f t="shared" si="29"/>
        <v>6.6666666666666666E-2</v>
      </c>
      <c r="F869" s="5">
        <v>12.5</v>
      </c>
      <c r="G869" s="5">
        <v>0</v>
      </c>
      <c r="H869" s="5">
        <v>-2</v>
      </c>
      <c r="I869" s="5">
        <v>1.2</v>
      </c>
      <c r="J869" s="5">
        <v>0.5</v>
      </c>
      <c r="M869" s="5">
        <v>2</v>
      </c>
      <c r="N869" s="5">
        <v>1</v>
      </c>
      <c r="P869" s="5" t="s">
        <v>378</v>
      </c>
    </row>
    <row r="870" spans="1:16" s="5" customFormat="1" x14ac:dyDescent="0.25">
      <c r="A870" s="6">
        <v>45196</v>
      </c>
      <c r="B870" s="5">
        <v>102</v>
      </c>
      <c r="C870" s="5">
        <v>9</v>
      </c>
      <c r="D870" s="5">
        <f t="shared" si="28"/>
        <v>8.3333333333333332E-3</v>
      </c>
      <c r="E870" s="5">
        <f t="shared" si="29"/>
        <v>6.6666666666666666E-2</v>
      </c>
      <c r="F870" s="5">
        <v>12.5</v>
      </c>
      <c r="G870" s="5">
        <v>0</v>
      </c>
      <c r="H870" s="5">
        <v>1</v>
      </c>
      <c r="I870" s="5">
        <v>1</v>
      </c>
      <c r="J870" s="5">
        <v>0.5</v>
      </c>
      <c r="M870" s="5">
        <v>2</v>
      </c>
      <c r="N870" s="5">
        <v>1</v>
      </c>
      <c r="P870" s="5" t="s">
        <v>376</v>
      </c>
    </row>
    <row r="871" spans="1:16" s="5" customFormat="1" x14ac:dyDescent="0.25">
      <c r="A871" s="6">
        <v>45196</v>
      </c>
      <c r="B871" s="5">
        <v>102</v>
      </c>
      <c r="C871" s="5">
        <v>11</v>
      </c>
      <c r="D871" s="5">
        <f t="shared" si="28"/>
        <v>8.3333333333333332E-3</v>
      </c>
      <c r="E871" s="5">
        <f t="shared" si="29"/>
        <v>6.6666666666666666E-2</v>
      </c>
      <c r="F871" s="5">
        <v>12.5</v>
      </c>
      <c r="G871" s="5">
        <v>0</v>
      </c>
      <c r="H871" s="5">
        <v>-2</v>
      </c>
      <c r="I871" s="5">
        <v>1.2</v>
      </c>
      <c r="J871" s="5">
        <v>0.5</v>
      </c>
      <c r="M871" s="5">
        <v>2</v>
      </c>
      <c r="N871" s="5">
        <v>1</v>
      </c>
      <c r="P871" s="5" t="s">
        <v>377</v>
      </c>
    </row>
    <row r="872" spans="1:16" s="5" customFormat="1" x14ac:dyDescent="0.25">
      <c r="A872" s="6">
        <v>45196</v>
      </c>
      <c r="B872" s="5">
        <v>102</v>
      </c>
      <c r="C872" s="5">
        <v>12</v>
      </c>
      <c r="D872" s="5">
        <f t="shared" si="28"/>
        <v>8.3333333333333332E-3</v>
      </c>
      <c r="E872" s="5">
        <f t="shared" si="29"/>
        <v>6.6666666666666666E-2</v>
      </c>
      <c r="F872" s="5">
        <v>12.5</v>
      </c>
      <c r="G872" s="5">
        <v>0</v>
      </c>
      <c r="H872" s="5">
        <v>-2</v>
      </c>
      <c r="I872" s="5">
        <v>1.2</v>
      </c>
      <c r="J872" s="5">
        <v>0.5</v>
      </c>
      <c r="M872" s="5">
        <v>2</v>
      </c>
      <c r="N872" s="5">
        <v>1</v>
      </c>
      <c r="P872" s="5" t="s">
        <v>378</v>
      </c>
    </row>
    <row r="873" spans="1:16" s="5" customFormat="1" x14ac:dyDescent="0.25">
      <c r="A873" s="6">
        <v>45196</v>
      </c>
      <c r="B873" s="5">
        <v>102</v>
      </c>
      <c r="C873" s="5">
        <v>16</v>
      </c>
      <c r="D873" s="5">
        <f t="shared" si="28"/>
        <v>8.3333333333333332E-3</v>
      </c>
      <c r="E873" s="5">
        <f t="shared" si="29"/>
        <v>6.6666666666666666E-2</v>
      </c>
      <c r="F873" s="5">
        <v>12.5</v>
      </c>
      <c r="G873" s="5">
        <v>0</v>
      </c>
      <c r="H873" s="5">
        <v>-2</v>
      </c>
      <c r="I873" s="5">
        <v>1.2</v>
      </c>
      <c r="J873" s="5">
        <v>0.5</v>
      </c>
      <c r="M873" s="5">
        <v>2</v>
      </c>
      <c r="N873" s="5">
        <v>1</v>
      </c>
      <c r="P873" s="5" t="s">
        <v>381</v>
      </c>
    </row>
    <row r="874" spans="1:16" s="5" customFormat="1" x14ac:dyDescent="0.25">
      <c r="A874" s="6">
        <v>45196</v>
      </c>
      <c r="B874" s="5">
        <v>102</v>
      </c>
      <c r="C874" s="5">
        <v>17</v>
      </c>
      <c r="D874" s="5">
        <f t="shared" si="28"/>
        <v>8.3333333333333332E-3</v>
      </c>
      <c r="E874" s="5">
        <f t="shared" si="29"/>
        <v>6.6666666666666666E-2</v>
      </c>
      <c r="F874" s="5">
        <v>12.5</v>
      </c>
      <c r="G874" s="5">
        <v>0</v>
      </c>
      <c r="H874" s="5">
        <v>-2</v>
      </c>
      <c r="I874" s="5">
        <v>1.2</v>
      </c>
      <c r="J874" s="5">
        <v>0.5</v>
      </c>
      <c r="M874" s="5">
        <v>2</v>
      </c>
      <c r="N874" s="5">
        <v>1</v>
      </c>
      <c r="P874" s="5" t="s">
        <v>382</v>
      </c>
    </row>
    <row r="875" spans="1:16" s="5" customFormat="1" x14ac:dyDescent="0.25">
      <c r="A875" s="6">
        <v>45196</v>
      </c>
      <c r="B875" s="5">
        <v>103</v>
      </c>
      <c r="C875" s="5">
        <v>19</v>
      </c>
      <c r="D875" s="5">
        <f t="shared" si="28"/>
        <v>8.3333333333333332E-3</v>
      </c>
      <c r="E875" s="5">
        <f t="shared" si="29"/>
        <v>6.6666666666666666E-2</v>
      </c>
      <c r="F875" s="5">
        <v>12.5</v>
      </c>
      <c r="G875" s="5">
        <v>0</v>
      </c>
      <c r="H875" s="5">
        <v>1</v>
      </c>
      <c r="I875" s="5">
        <v>1</v>
      </c>
      <c r="J875" s="5">
        <v>0.5</v>
      </c>
      <c r="M875" s="5">
        <v>2</v>
      </c>
      <c r="N875" s="5">
        <v>1</v>
      </c>
      <c r="P875" s="5" t="s">
        <v>376</v>
      </c>
    </row>
    <row r="876" spans="1:16" s="5" customFormat="1" x14ac:dyDescent="0.25">
      <c r="A876" s="6">
        <v>45196</v>
      </c>
      <c r="B876" s="5">
        <v>103</v>
      </c>
      <c r="C876" s="5">
        <v>21</v>
      </c>
      <c r="D876" s="5">
        <f t="shared" si="28"/>
        <v>8.3333333333333332E-3</v>
      </c>
      <c r="E876" s="5">
        <f t="shared" si="29"/>
        <v>6.6666666666666666E-2</v>
      </c>
      <c r="F876" s="5">
        <v>12.5</v>
      </c>
      <c r="G876" s="5">
        <v>0</v>
      </c>
      <c r="H876" s="5">
        <v>-2</v>
      </c>
      <c r="I876" s="5">
        <v>1.2</v>
      </c>
      <c r="J876" s="5">
        <v>0.5</v>
      </c>
      <c r="M876" s="5">
        <v>2</v>
      </c>
      <c r="N876" s="5">
        <v>1</v>
      </c>
      <c r="P876" s="5" t="s">
        <v>377</v>
      </c>
    </row>
    <row r="877" spans="1:16" s="5" customFormat="1" x14ac:dyDescent="0.25">
      <c r="A877" s="6">
        <v>45196</v>
      </c>
      <c r="B877" s="5">
        <v>103</v>
      </c>
      <c r="C877" s="5">
        <v>22</v>
      </c>
      <c r="D877" s="5">
        <f t="shared" si="28"/>
        <v>8.3333333333333332E-3</v>
      </c>
      <c r="E877" s="5">
        <f t="shared" si="29"/>
        <v>6.6666666666666666E-2</v>
      </c>
      <c r="F877" s="5">
        <v>12.5</v>
      </c>
      <c r="G877" s="5">
        <v>0</v>
      </c>
      <c r="H877" s="5">
        <v>-2</v>
      </c>
      <c r="I877" s="5">
        <v>1.2</v>
      </c>
      <c r="J877" s="5">
        <v>0.5</v>
      </c>
      <c r="M877" s="5">
        <v>2</v>
      </c>
      <c r="N877" s="5">
        <v>1</v>
      </c>
      <c r="P877" s="5" t="s">
        <v>378</v>
      </c>
    </row>
    <row r="878" spans="1:16" s="5" customFormat="1" x14ac:dyDescent="0.25">
      <c r="A878" s="6">
        <v>45196</v>
      </c>
      <c r="B878" s="5">
        <v>104</v>
      </c>
      <c r="C878" s="5">
        <v>27</v>
      </c>
      <c r="D878" s="5">
        <f t="shared" si="28"/>
        <v>8.3333333333333332E-3</v>
      </c>
      <c r="E878" s="5">
        <f t="shared" si="29"/>
        <v>6.6666666666666666E-2</v>
      </c>
      <c r="F878" s="5">
        <v>12.5</v>
      </c>
      <c r="G878" s="5">
        <v>0</v>
      </c>
      <c r="H878" s="5">
        <v>1</v>
      </c>
      <c r="I878" s="5">
        <v>1</v>
      </c>
      <c r="J878" s="5">
        <v>0.5</v>
      </c>
      <c r="M878" s="5">
        <v>2</v>
      </c>
      <c r="N878" s="5">
        <v>1</v>
      </c>
      <c r="P878" s="5" t="s">
        <v>376</v>
      </c>
    </row>
    <row r="879" spans="1:16" s="5" customFormat="1" x14ac:dyDescent="0.25">
      <c r="A879" s="6">
        <v>45196</v>
      </c>
      <c r="B879" s="5">
        <v>104</v>
      </c>
      <c r="C879" s="5">
        <v>29</v>
      </c>
      <c r="D879" s="5">
        <f t="shared" si="28"/>
        <v>8.3333333333333332E-3</v>
      </c>
      <c r="E879" s="5">
        <f t="shared" si="29"/>
        <v>6.6666666666666666E-2</v>
      </c>
      <c r="F879" s="5">
        <v>12.5</v>
      </c>
      <c r="G879" s="5">
        <v>0</v>
      </c>
      <c r="H879" s="5">
        <v>-2</v>
      </c>
      <c r="I879" s="5">
        <v>1.2</v>
      </c>
      <c r="J879" s="5">
        <v>0.5</v>
      </c>
      <c r="M879" s="5">
        <v>2</v>
      </c>
      <c r="N879" s="5">
        <v>1</v>
      </c>
      <c r="P879" s="5" t="s">
        <v>377</v>
      </c>
    </row>
    <row r="880" spans="1:16" s="5" customFormat="1" x14ac:dyDescent="0.25">
      <c r="A880" s="6">
        <v>45196</v>
      </c>
      <c r="B880" s="5">
        <v>104</v>
      </c>
      <c r="C880" s="5">
        <v>30</v>
      </c>
      <c r="D880" s="5">
        <f t="shared" si="28"/>
        <v>8.3333333333333332E-3</v>
      </c>
      <c r="E880" s="5">
        <f t="shared" si="29"/>
        <v>6.6666666666666666E-2</v>
      </c>
      <c r="F880" s="5">
        <v>12.5</v>
      </c>
      <c r="G880" s="5">
        <v>0</v>
      </c>
      <c r="H880" s="5">
        <v>-2</v>
      </c>
      <c r="I880" s="5">
        <v>1.2</v>
      </c>
      <c r="J880" s="5">
        <v>0.5</v>
      </c>
      <c r="M880" s="5">
        <v>2</v>
      </c>
      <c r="N880" s="5">
        <v>1</v>
      </c>
      <c r="P880" s="5" t="s">
        <v>378</v>
      </c>
    </row>
    <row r="881" spans="1:16" s="5" customFormat="1" x14ac:dyDescent="0.25">
      <c r="A881" s="6">
        <v>45201</v>
      </c>
      <c r="B881" s="5">
        <v>105</v>
      </c>
      <c r="C881" s="5">
        <v>3</v>
      </c>
      <c r="D881" s="5">
        <f t="shared" si="28"/>
        <v>8.3333333333333332E-3</v>
      </c>
      <c r="E881" s="5">
        <f t="shared" si="29"/>
        <v>6.6666666666666666E-2</v>
      </c>
      <c r="F881" s="5">
        <v>12.5</v>
      </c>
      <c r="G881" s="5">
        <v>0</v>
      </c>
      <c r="H881" s="5">
        <v>1</v>
      </c>
      <c r="I881" s="5">
        <v>1</v>
      </c>
      <c r="J881" s="5">
        <v>0.5</v>
      </c>
      <c r="M881" s="5">
        <v>2</v>
      </c>
      <c r="N881" s="5">
        <v>1</v>
      </c>
      <c r="P881" s="5" t="s">
        <v>376</v>
      </c>
    </row>
    <row r="882" spans="1:16" s="5" customFormat="1" x14ac:dyDescent="0.25">
      <c r="A882" s="6">
        <v>45201</v>
      </c>
      <c r="B882" s="5">
        <v>105</v>
      </c>
      <c r="C882" s="5">
        <v>5</v>
      </c>
      <c r="D882" s="5">
        <f t="shared" si="28"/>
        <v>8.3333333333333332E-3</v>
      </c>
      <c r="E882" s="5">
        <f t="shared" si="29"/>
        <v>6.6666666666666666E-2</v>
      </c>
      <c r="F882" s="5">
        <v>12.5</v>
      </c>
      <c r="G882" s="5">
        <v>0</v>
      </c>
      <c r="H882" s="5">
        <v>-2</v>
      </c>
      <c r="I882" s="5">
        <v>1.2</v>
      </c>
      <c r="J882" s="5">
        <v>0.5</v>
      </c>
      <c r="M882" s="5">
        <v>2</v>
      </c>
      <c r="N882" s="5">
        <v>1</v>
      </c>
      <c r="P882" s="5" t="s">
        <v>377</v>
      </c>
    </row>
    <row r="883" spans="1:16" s="5" customFormat="1" x14ac:dyDescent="0.25">
      <c r="A883" s="6">
        <v>45201</v>
      </c>
      <c r="B883" s="5">
        <v>105</v>
      </c>
      <c r="C883" s="5">
        <v>6</v>
      </c>
      <c r="D883" s="5">
        <f t="shared" si="28"/>
        <v>8.3333333333333332E-3</v>
      </c>
      <c r="E883" s="5">
        <f t="shared" si="29"/>
        <v>6.6666666666666666E-2</v>
      </c>
      <c r="F883" s="5">
        <v>12.5</v>
      </c>
      <c r="G883" s="5">
        <v>0</v>
      </c>
      <c r="H883" s="5">
        <v>-2</v>
      </c>
      <c r="I883" s="5">
        <v>1.2</v>
      </c>
      <c r="J883" s="5">
        <v>0.5</v>
      </c>
      <c r="M883" s="5">
        <v>2</v>
      </c>
      <c r="N883" s="5">
        <v>1</v>
      </c>
      <c r="P883" s="5" t="s">
        <v>378</v>
      </c>
    </row>
    <row r="884" spans="1:16" s="5" customFormat="1" x14ac:dyDescent="0.25">
      <c r="A884" s="6">
        <v>45201</v>
      </c>
      <c r="B884" s="5">
        <v>106</v>
      </c>
      <c r="C884" s="5">
        <v>10</v>
      </c>
      <c r="D884" s="5">
        <f t="shared" si="28"/>
        <v>8.3333333333333332E-3</v>
      </c>
      <c r="E884" s="5">
        <f t="shared" si="29"/>
        <v>6.6666666666666666E-2</v>
      </c>
      <c r="F884" s="5">
        <v>12.5</v>
      </c>
      <c r="G884" s="5">
        <v>0</v>
      </c>
      <c r="H884" s="5">
        <v>1</v>
      </c>
      <c r="I884" s="5">
        <v>1</v>
      </c>
      <c r="J884" s="5">
        <v>0.5</v>
      </c>
      <c r="M884" s="5">
        <v>2</v>
      </c>
      <c r="N884" s="5">
        <v>1</v>
      </c>
      <c r="P884" s="5" t="s">
        <v>376</v>
      </c>
    </row>
    <row r="885" spans="1:16" s="5" customFormat="1" x14ac:dyDescent="0.25">
      <c r="A885" s="6">
        <v>45201</v>
      </c>
      <c r="B885" s="5">
        <v>106</v>
      </c>
      <c r="C885" s="5">
        <v>12</v>
      </c>
      <c r="D885" s="5">
        <f t="shared" si="28"/>
        <v>8.3333333333333332E-3</v>
      </c>
      <c r="E885" s="5">
        <f t="shared" si="29"/>
        <v>6.6666666666666666E-2</v>
      </c>
      <c r="F885" s="5">
        <v>12.5</v>
      </c>
      <c r="G885" s="5">
        <v>0</v>
      </c>
      <c r="H885" s="5">
        <v>-2</v>
      </c>
      <c r="I885" s="5">
        <v>1.2</v>
      </c>
      <c r="J885" s="5">
        <v>0.5</v>
      </c>
      <c r="M885" s="5">
        <v>2</v>
      </c>
      <c r="N885" s="5">
        <v>1</v>
      </c>
      <c r="P885" s="5" t="s">
        <v>377</v>
      </c>
    </row>
    <row r="886" spans="1:16" s="5" customFormat="1" x14ac:dyDescent="0.25">
      <c r="A886" s="6">
        <v>45201</v>
      </c>
      <c r="B886" s="5">
        <v>106</v>
      </c>
      <c r="C886" s="5">
        <v>13</v>
      </c>
      <c r="D886" s="5">
        <f t="shared" si="28"/>
        <v>8.3333333333333332E-3</v>
      </c>
      <c r="E886" s="5">
        <f t="shared" si="29"/>
        <v>6.6666666666666666E-2</v>
      </c>
      <c r="F886" s="5">
        <v>12.5</v>
      </c>
      <c r="G886" s="5">
        <v>0</v>
      </c>
      <c r="H886" s="5">
        <v>-2</v>
      </c>
      <c r="I886" s="5">
        <v>1.2</v>
      </c>
      <c r="J886" s="5">
        <v>0.5</v>
      </c>
      <c r="M886" s="5">
        <v>2</v>
      </c>
      <c r="N886" s="5">
        <v>1</v>
      </c>
      <c r="P886" s="5" t="s">
        <v>378</v>
      </c>
    </row>
    <row r="887" spans="1:16" s="5" customFormat="1" x14ac:dyDescent="0.25">
      <c r="A887" s="6">
        <v>45201</v>
      </c>
      <c r="B887" s="5">
        <v>106</v>
      </c>
      <c r="C887" s="5">
        <v>14</v>
      </c>
      <c r="D887" s="5">
        <f t="shared" si="28"/>
        <v>8.3333333333333332E-3</v>
      </c>
      <c r="E887" s="5">
        <f t="shared" si="29"/>
        <v>6.6666666666666666E-2</v>
      </c>
      <c r="F887" s="5">
        <v>12.5</v>
      </c>
      <c r="G887" s="5">
        <v>0</v>
      </c>
      <c r="H887" s="5">
        <v>-2</v>
      </c>
      <c r="I887" s="5">
        <v>1.2</v>
      </c>
      <c r="J887" s="5">
        <v>0.5</v>
      </c>
      <c r="M887" s="5">
        <v>2</v>
      </c>
      <c r="N887" s="5">
        <v>1</v>
      </c>
      <c r="P887" s="5" t="s">
        <v>379</v>
      </c>
    </row>
    <row r="888" spans="1:16" s="5" customFormat="1" x14ac:dyDescent="0.25">
      <c r="A888" s="6">
        <v>45201</v>
      </c>
      <c r="B888" s="5">
        <v>106</v>
      </c>
      <c r="C888" s="5">
        <v>15</v>
      </c>
      <c r="D888" s="5">
        <f t="shared" si="28"/>
        <v>8.3333333333333332E-3</v>
      </c>
      <c r="E888" s="5">
        <f t="shared" si="29"/>
        <v>6.6666666666666666E-2</v>
      </c>
      <c r="F888" s="5">
        <v>12.5</v>
      </c>
      <c r="G888" s="5">
        <v>0</v>
      </c>
      <c r="H888" s="5">
        <v>-2</v>
      </c>
      <c r="I888" s="5">
        <v>1.2</v>
      </c>
      <c r="J888" s="5">
        <v>0.5</v>
      </c>
      <c r="M888" s="5">
        <v>2</v>
      </c>
      <c r="N888" s="5">
        <v>1</v>
      </c>
      <c r="P888" s="5" t="s">
        <v>379</v>
      </c>
    </row>
    <row r="889" spans="1:16" s="5" customFormat="1" x14ac:dyDescent="0.25">
      <c r="A889" s="6">
        <v>45201</v>
      </c>
      <c r="B889" s="5">
        <v>106</v>
      </c>
      <c r="C889" s="5">
        <v>17</v>
      </c>
      <c r="D889" s="5">
        <f t="shared" si="28"/>
        <v>8.3333333333333332E-3</v>
      </c>
      <c r="E889" s="5">
        <f t="shared" si="29"/>
        <v>6.6666666666666666E-2</v>
      </c>
      <c r="F889" s="5">
        <v>12.5</v>
      </c>
      <c r="G889" s="5">
        <v>0</v>
      </c>
      <c r="H889" s="5">
        <v>-2</v>
      </c>
      <c r="I889" s="5">
        <v>1.2</v>
      </c>
      <c r="J889" s="5">
        <v>0.5</v>
      </c>
      <c r="M889" s="5">
        <v>2</v>
      </c>
      <c r="N889" s="5">
        <v>1</v>
      </c>
      <c r="P889" s="5" t="s">
        <v>381</v>
      </c>
    </row>
    <row r="890" spans="1:16" s="5" customFormat="1" x14ac:dyDescent="0.25">
      <c r="A890" s="6">
        <v>45201</v>
      </c>
      <c r="B890" s="5">
        <v>106</v>
      </c>
      <c r="C890" s="5">
        <v>18</v>
      </c>
      <c r="D890" s="5">
        <f t="shared" si="28"/>
        <v>8.3333333333333332E-3</v>
      </c>
      <c r="E890" s="5">
        <f t="shared" si="29"/>
        <v>6.6666666666666666E-2</v>
      </c>
      <c r="F890" s="5">
        <v>12.5</v>
      </c>
      <c r="G890" s="5">
        <v>0</v>
      </c>
      <c r="H890" s="5">
        <v>-2</v>
      </c>
      <c r="I890" s="5">
        <v>1.2</v>
      </c>
      <c r="J890" s="5">
        <v>0.5</v>
      </c>
      <c r="M890" s="5">
        <v>2</v>
      </c>
      <c r="N890" s="5">
        <v>1</v>
      </c>
      <c r="P890" s="5" t="s">
        <v>382</v>
      </c>
    </row>
    <row r="891" spans="1:16" s="5" customFormat="1" x14ac:dyDescent="0.25">
      <c r="A891" s="6">
        <v>45201</v>
      </c>
      <c r="B891" s="5">
        <v>107</v>
      </c>
      <c r="C891" s="5">
        <v>21</v>
      </c>
      <c r="D891" s="5">
        <f t="shared" si="28"/>
        <v>8.3333333333333332E-3</v>
      </c>
      <c r="E891" s="5">
        <f t="shared" si="29"/>
        <v>6.6666666666666666E-2</v>
      </c>
      <c r="F891" s="5">
        <v>12.5</v>
      </c>
      <c r="G891" s="5">
        <v>0</v>
      </c>
      <c r="H891" s="5">
        <v>-2</v>
      </c>
      <c r="I891" s="5">
        <v>1.2</v>
      </c>
      <c r="J891" s="5">
        <v>0.5</v>
      </c>
      <c r="M891" s="5">
        <v>2</v>
      </c>
      <c r="N891" s="5">
        <v>1</v>
      </c>
      <c r="P891" s="5" t="s">
        <v>379</v>
      </c>
    </row>
    <row r="892" spans="1:16" s="5" customFormat="1" x14ac:dyDescent="0.25">
      <c r="A892" s="6">
        <v>45201</v>
      </c>
      <c r="B892" s="5">
        <v>107</v>
      </c>
      <c r="C892" s="5">
        <v>23</v>
      </c>
      <c r="D892" s="5">
        <f t="shared" si="28"/>
        <v>8.3333333333333332E-3</v>
      </c>
      <c r="E892" s="5">
        <f t="shared" si="29"/>
        <v>6.6666666666666666E-2</v>
      </c>
      <c r="F892" s="5">
        <v>12.5</v>
      </c>
      <c r="G892" s="5">
        <v>0</v>
      </c>
      <c r="H892" s="5">
        <v>-2</v>
      </c>
      <c r="I892" s="5">
        <v>1.2</v>
      </c>
      <c r="J892" s="5">
        <v>0.5</v>
      </c>
      <c r="M892" s="5">
        <v>2</v>
      </c>
      <c r="N892" s="5">
        <v>1</v>
      </c>
      <c r="P892" s="5" t="s">
        <v>379</v>
      </c>
    </row>
    <row r="893" spans="1:16" s="5" customFormat="1" x14ac:dyDescent="0.25">
      <c r="A893" s="6">
        <v>45201</v>
      </c>
      <c r="B893" s="5">
        <v>107</v>
      </c>
      <c r="C893" s="5">
        <v>24</v>
      </c>
      <c r="D893" s="5">
        <f t="shared" si="28"/>
        <v>8.3333333333333332E-3</v>
      </c>
      <c r="E893" s="5">
        <f t="shared" si="29"/>
        <v>6.6666666666666666E-2</v>
      </c>
      <c r="F893" s="5">
        <v>12.5</v>
      </c>
      <c r="G893" s="5">
        <v>0</v>
      </c>
      <c r="H893" s="5">
        <v>-2</v>
      </c>
      <c r="I893" s="5">
        <v>1.2</v>
      </c>
      <c r="J893" s="5">
        <v>0.5</v>
      </c>
      <c r="M893" s="5">
        <v>2</v>
      </c>
      <c r="N893" s="5">
        <v>1</v>
      </c>
      <c r="P893" s="5" t="s">
        <v>379</v>
      </c>
    </row>
    <row r="894" spans="1:16" s="5" customFormat="1" x14ac:dyDescent="0.25">
      <c r="A894" s="6">
        <v>45201</v>
      </c>
      <c r="B894" s="5">
        <v>107</v>
      </c>
      <c r="C894" s="5">
        <v>26</v>
      </c>
      <c r="D894" s="5">
        <f t="shared" si="28"/>
        <v>8.3333333333333332E-3</v>
      </c>
      <c r="E894" s="5">
        <f t="shared" si="29"/>
        <v>6.6666666666666666E-2</v>
      </c>
      <c r="F894" s="5">
        <v>12.5</v>
      </c>
      <c r="G894" s="5">
        <v>0</v>
      </c>
      <c r="H894" s="5">
        <v>-2</v>
      </c>
      <c r="I894" s="5">
        <v>1.2</v>
      </c>
      <c r="J894" s="5">
        <v>0.5</v>
      </c>
      <c r="M894" s="5">
        <v>2</v>
      </c>
      <c r="N894" s="5">
        <v>1</v>
      </c>
      <c r="P894" s="5" t="s">
        <v>379</v>
      </c>
    </row>
    <row r="895" spans="1:16" s="5" customFormat="1" x14ac:dyDescent="0.25">
      <c r="A895" s="6">
        <v>45201</v>
      </c>
      <c r="B895" s="5">
        <v>107</v>
      </c>
      <c r="C895" s="5">
        <v>27</v>
      </c>
      <c r="D895" s="5">
        <f t="shared" si="28"/>
        <v>8.3333333333333332E-3</v>
      </c>
      <c r="E895" s="5">
        <f t="shared" si="29"/>
        <v>6.6666666666666666E-2</v>
      </c>
      <c r="F895" s="5">
        <v>12.5</v>
      </c>
      <c r="G895" s="5">
        <v>0</v>
      </c>
      <c r="H895" s="5">
        <v>-2</v>
      </c>
      <c r="I895" s="5">
        <v>1.2</v>
      </c>
      <c r="J895" s="5">
        <v>0.5</v>
      </c>
      <c r="M895" s="5">
        <v>2</v>
      </c>
      <c r="N895" s="5">
        <v>1</v>
      </c>
      <c r="P895" s="5" t="s">
        <v>379</v>
      </c>
    </row>
    <row r="896" spans="1:16" s="5" customFormat="1" x14ac:dyDescent="0.25">
      <c r="A896" s="6">
        <v>45204</v>
      </c>
      <c r="B896" s="5">
        <v>108</v>
      </c>
      <c r="C896" s="5">
        <v>3</v>
      </c>
      <c r="D896" s="5">
        <f t="shared" si="28"/>
        <v>8.3333333333333332E-3</v>
      </c>
      <c r="E896" s="5">
        <f t="shared" si="29"/>
        <v>6.6666666666666666E-2</v>
      </c>
      <c r="F896" s="5">
        <v>12.5</v>
      </c>
      <c r="G896" s="5">
        <v>0</v>
      </c>
      <c r="H896" s="5">
        <v>-2</v>
      </c>
      <c r="I896" s="5">
        <v>1.2</v>
      </c>
      <c r="J896" s="5">
        <v>0.5</v>
      </c>
      <c r="M896" s="5">
        <v>2</v>
      </c>
      <c r="N896" s="5">
        <v>1</v>
      </c>
      <c r="P896" s="5" t="s">
        <v>383</v>
      </c>
    </row>
    <row r="897" spans="1:16" s="5" customFormat="1" x14ac:dyDescent="0.25">
      <c r="A897" s="6">
        <v>45204</v>
      </c>
      <c r="B897" s="5">
        <v>108</v>
      </c>
      <c r="C897" s="5">
        <v>6</v>
      </c>
      <c r="D897" s="5">
        <f t="shared" si="28"/>
        <v>8.3333333333333332E-3</v>
      </c>
      <c r="E897" s="5">
        <f t="shared" si="29"/>
        <v>6.6666666666666666E-2</v>
      </c>
      <c r="F897" s="5">
        <v>12.5</v>
      </c>
      <c r="G897" s="5">
        <v>0</v>
      </c>
      <c r="H897" s="5">
        <v>-2</v>
      </c>
      <c r="I897" s="5">
        <v>1.2</v>
      </c>
      <c r="J897" s="5">
        <v>0.5</v>
      </c>
      <c r="M897" s="5">
        <v>2</v>
      </c>
      <c r="N897" s="5">
        <v>1</v>
      </c>
      <c r="P897" s="5" t="s">
        <v>384</v>
      </c>
    </row>
    <row r="898" spans="1:16" s="5" customFormat="1" x14ac:dyDescent="0.25">
      <c r="A898" s="6">
        <v>45204</v>
      </c>
      <c r="B898" s="5">
        <v>108</v>
      </c>
      <c r="C898" s="5">
        <v>7</v>
      </c>
      <c r="D898" s="5">
        <f t="shared" si="28"/>
        <v>8.3333333333333332E-3</v>
      </c>
      <c r="E898" s="5">
        <f t="shared" si="29"/>
        <v>6.6666666666666666E-2</v>
      </c>
      <c r="F898" s="5">
        <v>12.5</v>
      </c>
      <c r="G898" s="5">
        <v>0</v>
      </c>
      <c r="H898" s="5">
        <v>-2</v>
      </c>
      <c r="I898" s="5">
        <v>1.2</v>
      </c>
      <c r="J898" s="5">
        <v>0.5</v>
      </c>
      <c r="M898" s="5">
        <v>2</v>
      </c>
      <c r="N898" s="5">
        <v>1</v>
      </c>
      <c r="P898" s="5" t="s">
        <v>385</v>
      </c>
    </row>
    <row r="899" spans="1:16" s="5" customFormat="1" x14ac:dyDescent="0.25">
      <c r="A899" s="6">
        <v>45204</v>
      </c>
      <c r="B899" s="5">
        <v>108</v>
      </c>
      <c r="C899" s="5">
        <v>8</v>
      </c>
      <c r="D899" s="5">
        <f t="shared" si="28"/>
        <v>8.3333333333333332E-3</v>
      </c>
      <c r="E899" s="5">
        <f t="shared" si="29"/>
        <v>6.6666666666666666E-2</v>
      </c>
      <c r="F899" s="5">
        <v>12.5</v>
      </c>
      <c r="G899" s="5">
        <v>0</v>
      </c>
      <c r="H899" s="5">
        <v>-2</v>
      </c>
      <c r="I899" s="5">
        <v>1.2</v>
      </c>
      <c r="J899" s="5">
        <v>0.5</v>
      </c>
      <c r="M899" s="5">
        <v>2</v>
      </c>
      <c r="N899" s="5">
        <v>1</v>
      </c>
      <c r="P899" s="5" t="s">
        <v>380</v>
      </c>
    </row>
    <row r="900" spans="1:16" s="5" customFormat="1" x14ac:dyDescent="0.25">
      <c r="A900" s="6">
        <v>45204</v>
      </c>
      <c r="B900" s="5">
        <v>108</v>
      </c>
      <c r="C900" s="5">
        <v>9</v>
      </c>
      <c r="D900" s="5">
        <f t="shared" si="28"/>
        <v>8.3333333333333332E-3</v>
      </c>
      <c r="E900" s="5">
        <f t="shared" si="29"/>
        <v>6.6666666666666666E-2</v>
      </c>
      <c r="F900" s="5">
        <v>12.5</v>
      </c>
      <c r="G900" s="5">
        <v>0</v>
      </c>
      <c r="H900" s="5">
        <v>-2</v>
      </c>
      <c r="I900" s="5">
        <v>1.2</v>
      </c>
      <c r="J900" s="5">
        <v>0.5</v>
      </c>
      <c r="M900" s="5">
        <v>2</v>
      </c>
      <c r="N900" s="5">
        <v>1</v>
      </c>
      <c r="P900" s="5" t="s">
        <v>380</v>
      </c>
    </row>
    <row r="901" spans="1:16" s="5" customFormat="1" x14ac:dyDescent="0.25">
      <c r="A901" s="6">
        <v>45204</v>
      </c>
      <c r="B901" s="5">
        <v>109</v>
      </c>
      <c r="C901" s="5">
        <v>12</v>
      </c>
      <c r="D901" s="5">
        <f t="shared" si="28"/>
        <v>8.3333333333333332E-3</v>
      </c>
      <c r="E901" s="5">
        <f t="shared" si="29"/>
        <v>6.6666666666666666E-2</v>
      </c>
      <c r="F901" s="5">
        <v>12.5</v>
      </c>
      <c r="G901" s="5">
        <v>1</v>
      </c>
      <c r="H901" s="5">
        <v>-2</v>
      </c>
      <c r="I901" s="5">
        <v>1.2</v>
      </c>
      <c r="J901" s="5">
        <v>0.5</v>
      </c>
      <c r="M901" s="5">
        <v>2</v>
      </c>
      <c r="N901" s="5">
        <v>1</v>
      </c>
      <c r="P901" s="5" t="s">
        <v>383</v>
      </c>
    </row>
    <row r="902" spans="1:16" s="5" customFormat="1" x14ac:dyDescent="0.25">
      <c r="A902" s="6">
        <v>45204</v>
      </c>
      <c r="B902" s="5">
        <v>109</v>
      </c>
      <c r="C902" s="5">
        <v>14</v>
      </c>
      <c r="D902" s="5">
        <f t="shared" si="28"/>
        <v>8.3333333333333332E-3</v>
      </c>
      <c r="E902" s="5">
        <f t="shared" si="29"/>
        <v>6.6666666666666666E-2</v>
      </c>
      <c r="F902" s="5">
        <v>12.5</v>
      </c>
      <c r="G902" s="5">
        <v>1</v>
      </c>
      <c r="H902" s="5">
        <v>-2</v>
      </c>
      <c r="I902" s="5">
        <v>1.2</v>
      </c>
      <c r="J902" s="5">
        <v>0.5</v>
      </c>
      <c r="M902" s="5">
        <v>2</v>
      </c>
      <c r="N902" s="5">
        <v>1</v>
      </c>
      <c r="P902" s="5" t="s">
        <v>384</v>
      </c>
    </row>
    <row r="903" spans="1:16" s="5" customFormat="1" x14ac:dyDescent="0.25">
      <c r="A903" s="6">
        <v>45204</v>
      </c>
      <c r="B903" s="5">
        <v>109</v>
      </c>
      <c r="C903" s="5">
        <v>15</v>
      </c>
      <c r="D903" s="5">
        <f t="shared" si="28"/>
        <v>8.3333333333333332E-3</v>
      </c>
      <c r="E903" s="5">
        <f t="shared" si="29"/>
        <v>6.6666666666666666E-2</v>
      </c>
      <c r="F903" s="5">
        <v>12.5</v>
      </c>
      <c r="G903" s="5">
        <v>1</v>
      </c>
      <c r="H903" s="5">
        <v>-2</v>
      </c>
      <c r="I903" s="5">
        <v>1.2</v>
      </c>
      <c r="J903" s="5">
        <v>0.5</v>
      </c>
      <c r="M903" s="5">
        <v>2</v>
      </c>
      <c r="N903" s="5">
        <v>1</v>
      </c>
      <c r="P903" s="5" t="s">
        <v>385</v>
      </c>
    </row>
    <row r="904" spans="1:16" s="5" customFormat="1" x14ac:dyDescent="0.25">
      <c r="A904" s="6">
        <v>45204</v>
      </c>
      <c r="B904" s="5">
        <v>109</v>
      </c>
      <c r="C904" s="5">
        <v>16</v>
      </c>
      <c r="D904" s="5">
        <f t="shared" si="28"/>
        <v>8.3333333333333332E-3</v>
      </c>
      <c r="E904" s="5">
        <f t="shared" si="29"/>
        <v>6.6666666666666666E-2</v>
      </c>
      <c r="F904" s="5">
        <v>12.5</v>
      </c>
      <c r="G904" s="5">
        <v>0</v>
      </c>
      <c r="H904" s="5">
        <v>-2</v>
      </c>
      <c r="I904" s="5">
        <v>1.2</v>
      </c>
      <c r="J904" s="5">
        <v>0.5</v>
      </c>
      <c r="M904" s="5">
        <v>2</v>
      </c>
      <c r="N904" s="5">
        <v>1</v>
      </c>
      <c r="P904" s="5" t="s">
        <v>380</v>
      </c>
    </row>
    <row r="905" spans="1:16" s="5" customFormat="1" x14ac:dyDescent="0.25">
      <c r="A905" s="6">
        <v>45204</v>
      </c>
      <c r="B905" s="5">
        <v>109</v>
      </c>
      <c r="C905" s="5">
        <v>17</v>
      </c>
      <c r="D905" s="5">
        <f t="shared" si="28"/>
        <v>8.3333333333333332E-3</v>
      </c>
      <c r="E905" s="5">
        <f t="shared" si="29"/>
        <v>6.6666666666666666E-2</v>
      </c>
      <c r="F905" s="5">
        <v>12.5</v>
      </c>
      <c r="G905" s="5">
        <v>0</v>
      </c>
      <c r="H905" s="5">
        <v>-2</v>
      </c>
      <c r="I905" s="5">
        <v>1.2</v>
      </c>
      <c r="J905" s="5">
        <v>0.5</v>
      </c>
      <c r="M905" s="5">
        <v>2</v>
      </c>
      <c r="N905" s="5">
        <v>1</v>
      </c>
      <c r="P905" s="5" t="s">
        <v>380</v>
      </c>
    </row>
    <row r="906" spans="1:16" s="5" customFormat="1" x14ac:dyDescent="0.25">
      <c r="A906" s="6">
        <v>45204</v>
      </c>
      <c r="B906" s="5">
        <v>109</v>
      </c>
      <c r="C906" s="5">
        <v>18</v>
      </c>
      <c r="D906" s="5">
        <f t="shared" si="28"/>
        <v>8.3333333333333332E-3</v>
      </c>
      <c r="E906" s="5">
        <f t="shared" si="29"/>
        <v>6.6666666666666666E-2</v>
      </c>
      <c r="F906" s="5">
        <v>12.5</v>
      </c>
      <c r="G906" s="5">
        <v>0</v>
      </c>
      <c r="H906" s="5">
        <v>-2</v>
      </c>
      <c r="I906" s="5">
        <v>1.2</v>
      </c>
      <c r="J906" s="5">
        <v>0.5</v>
      </c>
      <c r="M906" s="5">
        <v>2</v>
      </c>
      <c r="N906" s="5">
        <v>1</v>
      </c>
      <c r="P906" s="5" t="s">
        <v>380</v>
      </c>
    </row>
    <row r="907" spans="1:16" s="5" customFormat="1" x14ac:dyDescent="0.25">
      <c r="A907" s="6">
        <v>45204</v>
      </c>
      <c r="B907" s="5">
        <v>109</v>
      </c>
      <c r="C907" s="5">
        <v>19</v>
      </c>
      <c r="D907" s="5">
        <f t="shared" si="28"/>
        <v>8.3333333333333332E-3</v>
      </c>
      <c r="E907" s="5">
        <f t="shared" si="29"/>
        <v>6.6666666666666666E-2</v>
      </c>
      <c r="F907" s="5">
        <v>12.5</v>
      </c>
      <c r="G907" s="5">
        <v>0</v>
      </c>
      <c r="H907" s="5">
        <v>-2</v>
      </c>
      <c r="I907" s="5">
        <v>1.2</v>
      </c>
      <c r="J907" s="5">
        <v>0.5</v>
      </c>
      <c r="M907" s="5">
        <v>2</v>
      </c>
      <c r="N907" s="5">
        <v>1</v>
      </c>
      <c r="P907" s="5" t="s">
        <v>380</v>
      </c>
    </row>
    <row r="908" spans="1:16" s="5" customFormat="1" x14ac:dyDescent="0.25">
      <c r="A908" s="6">
        <v>45212</v>
      </c>
      <c r="B908" s="5">
        <v>110</v>
      </c>
      <c r="C908" s="5">
        <v>3</v>
      </c>
      <c r="D908" s="5">
        <f t="shared" si="28"/>
        <v>8.3333333333333332E-3</v>
      </c>
      <c r="E908" s="5">
        <f t="shared" si="29"/>
        <v>6.6666666666666666E-2</v>
      </c>
      <c r="F908" s="5">
        <v>12.5</v>
      </c>
      <c r="G908" s="5">
        <v>0</v>
      </c>
      <c r="H908" s="5">
        <v>1</v>
      </c>
      <c r="I908" s="5">
        <v>1</v>
      </c>
      <c r="J908" s="5">
        <v>0.5</v>
      </c>
      <c r="M908" s="5">
        <v>2</v>
      </c>
      <c r="N908" s="5">
        <v>1</v>
      </c>
      <c r="P908" s="5" t="s">
        <v>376</v>
      </c>
    </row>
    <row r="909" spans="1:16" s="5" customFormat="1" x14ac:dyDescent="0.25">
      <c r="A909" s="6">
        <v>45212</v>
      </c>
      <c r="B909" s="5">
        <v>110</v>
      </c>
      <c r="C909" s="5">
        <v>5</v>
      </c>
      <c r="D909" s="5">
        <f t="shared" si="28"/>
        <v>8.3333333333333332E-3</v>
      </c>
      <c r="E909" s="5">
        <f t="shared" si="29"/>
        <v>6.6666666666666666E-2</v>
      </c>
      <c r="F909" s="5">
        <v>12.5</v>
      </c>
      <c r="G909" s="5">
        <v>0</v>
      </c>
      <c r="H909" s="5">
        <v>-2</v>
      </c>
      <c r="I909" s="5">
        <v>1.2</v>
      </c>
      <c r="J909" s="5">
        <v>0.5</v>
      </c>
      <c r="M909" s="5">
        <v>2</v>
      </c>
      <c r="N909" s="5">
        <v>1</v>
      </c>
      <c r="P909" s="5" t="s">
        <v>377</v>
      </c>
    </row>
    <row r="910" spans="1:16" s="5" customFormat="1" x14ac:dyDescent="0.25">
      <c r="A910" s="6">
        <v>45212</v>
      </c>
      <c r="B910" s="5">
        <v>110</v>
      </c>
      <c r="C910" s="5">
        <v>6</v>
      </c>
      <c r="D910" s="5">
        <f t="shared" si="28"/>
        <v>8.3333333333333332E-3</v>
      </c>
      <c r="E910" s="5">
        <f t="shared" si="29"/>
        <v>6.6666666666666666E-2</v>
      </c>
      <c r="F910" s="5">
        <v>12.5</v>
      </c>
      <c r="G910" s="5">
        <v>0</v>
      </c>
      <c r="H910" s="5">
        <v>-2</v>
      </c>
      <c r="I910" s="5">
        <v>1.2</v>
      </c>
      <c r="J910" s="5">
        <v>0.5</v>
      </c>
      <c r="M910" s="5">
        <v>2</v>
      </c>
      <c r="N910" s="5">
        <v>1</v>
      </c>
      <c r="P910" s="5" t="s">
        <v>378</v>
      </c>
    </row>
    <row r="911" spans="1:16" s="5" customFormat="1" x14ac:dyDescent="0.25">
      <c r="A911" s="6">
        <v>45212</v>
      </c>
      <c r="B911" s="5">
        <v>110</v>
      </c>
      <c r="C911" s="5">
        <v>8</v>
      </c>
      <c r="D911" s="5">
        <f t="shared" si="28"/>
        <v>8.3333333333333332E-3</v>
      </c>
      <c r="E911" s="5">
        <f t="shared" si="29"/>
        <v>6.6666666666666666E-2</v>
      </c>
      <c r="F911" s="5">
        <v>12.5</v>
      </c>
      <c r="G911" s="5">
        <v>0</v>
      </c>
      <c r="H911" s="5">
        <v>-2</v>
      </c>
      <c r="I911" s="5">
        <v>1.2</v>
      </c>
      <c r="J911" s="5">
        <v>0.5</v>
      </c>
      <c r="M911" s="5">
        <v>2</v>
      </c>
      <c r="N911" s="5">
        <v>1</v>
      </c>
      <c r="P911" s="5" t="s">
        <v>381</v>
      </c>
    </row>
    <row r="912" spans="1:16" s="5" customFormat="1" x14ac:dyDescent="0.25">
      <c r="A912" s="6">
        <v>45212</v>
      </c>
      <c r="B912" s="5">
        <v>110</v>
      </c>
      <c r="C912" s="5">
        <v>9</v>
      </c>
      <c r="D912" s="5">
        <f t="shared" si="28"/>
        <v>8.3333333333333332E-3</v>
      </c>
      <c r="E912" s="5">
        <f t="shared" si="29"/>
        <v>6.6666666666666666E-2</v>
      </c>
      <c r="F912" s="5">
        <v>12.5</v>
      </c>
      <c r="G912" s="5">
        <v>0</v>
      </c>
      <c r="H912" s="5">
        <v>-2</v>
      </c>
      <c r="I912" s="5">
        <v>1.2</v>
      </c>
      <c r="J912" s="5">
        <v>0.5</v>
      </c>
      <c r="M912" s="5">
        <v>2</v>
      </c>
      <c r="N912" s="5">
        <v>1</v>
      </c>
      <c r="P912" s="5" t="s">
        <v>382</v>
      </c>
    </row>
    <row r="913" spans="1:16" s="5" customFormat="1" x14ac:dyDescent="0.25">
      <c r="A913" s="6">
        <v>45212</v>
      </c>
      <c r="B913" s="5">
        <v>111</v>
      </c>
      <c r="C913" s="5">
        <v>13</v>
      </c>
      <c r="D913" s="5">
        <f t="shared" si="28"/>
        <v>8.3333333333333332E-3</v>
      </c>
      <c r="E913" s="5">
        <f t="shared" si="29"/>
        <v>6.6666666666666666E-2</v>
      </c>
      <c r="F913" s="5">
        <v>12.5</v>
      </c>
      <c r="G913" s="5">
        <v>0</v>
      </c>
      <c r="H913" s="5">
        <v>1</v>
      </c>
      <c r="I913" s="5">
        <v>1</v>
      </c>
      <c r="J913" s="5">
        <v>0.5</v>
      </c>
      <c r="M913" s="5">
        <v>2</v>
      </c>
      <c r="N913" s="5">
        <v>1</v>
      </c>
      <c r="P913" s="5" t="s">
        <v>376</v>
      </c>
    </row>
    <row r="914" spans="1:16" s="5" customFormat="1" x14ac:dyDescent="0.25">
      <c r="A914" s="6">
        <v>45212</v>
      </c>
      <c r="B914" s="5">
        <v>111</v>
      </c>
      <c r="C914" s="5">
        <v>15</v>
      </c>
      <c r="D914" s="5">
        <f t="shared" si="28"/>
        <v>8.3333333333333332E-3</v>
      </c>
      <c r="E914" s="5">
        <f t="shared" si="29"/>
        <v>6.6666666666666666E-2</v>
      </c>
      <c r="F914" s="5">
        <v>12.5</v>
      </c>
      <c r="G914" s="5">
        <v>0</v>
      </c>
      <c r="H914" s="5">
        <v>-2</v>
      </c>
      <c r="I914" s="5">
        <v>1.2</v>
      </c>
      <c r="J914" s="5">
        <v>0.5</v>
      </c>
      <c r="M914" s="5">
        <v>2</v>
      </c>
      <c r="N914" s="5">
        <v>1</v>
      </c>
      <c r="P914" s="5" t="s">
        <v>377</v>
      </c>
    </row>
    <row r="915" spans="1:16" s="5" customFormat="1" x14ac:dyDescent="0.25">
      <c r="A915" s="6">
        <v>45212</v>
      </c>
      <c r="B915" s="5">
        <v>111</v>
      </c>
      <c r="C915" s="5">
        <v>16</v>
      </c>
      <c r="D915" s="5">
        <f t="shared" si="28"/>
        <v>8.3333333333333332E-3</v>
      </c>
      <c r="E915" s="5">
        <f t="shared" si="29"/>
        <v>6.6666666666666666E-2</v>
      </c>
      <c r="F915" s="5">
        <v>12.5</v>
      </c>
      <c r="G915" s="5">
        <v>0</v>
      </c>
      <c r="H915" s="5">
        <v>-2</v>
      </c>
      <c r="I915" s="5">
        <v>1.2</v>
      </c>
      <c r="J915" s="5">
        <v>0.5</v>
      </c>
      <c r="M915" s="5">
        <v>2</v>
      </c>
      <c r="N915" s="5">
        <v>1</v>
      </c>
      <c r="P915" s="5" t="s">
        <v>378</v>
      </c>
    </row>
    <row r="916" spans="1:16" s="5" customFormat="1" x14ac:dyDescent="0.25">
      <c r="A916" s="6">
        <v>45212</v>
      </c>
      <c r="B916" s="5">
        <v>111</v>
      </c>
      <c r="C916" s="5">
        <v>18</v>
      </c>
      <c r="D916" s="5">
        <f t="shared" si="28"/>
        <v>8.3333333333333332E-3</v>
      </c>
      <c r="E916" s="5">
        <f t="shared" si="29"/>
        <v>6.6666666666666666E-2</v>
      </c>
      <c r="F916" s="5">
        <v>12.5</v>
      </c>
      <c r="G916" s="5">
        <v>0</v>
      </c>
      <c r="H916" s="5">
        <v>-2</v>
      </c>
      <c r="I916" s="5">
        <v>1.2</v>
      </c>
      <c r="J916" s="5">
        <v>0.5</v>
      </c>
      <c r="M916" s="5">
        <v>2</v>
      </c>
      <c r="N916" s="5">
        <v>1</v>
      </c>
      <c r="P916" s="5" t="s">
        <v>381</v>
      </c>
    </row>
    <row r="917" spans="1:16" s="5" customFormat="1" x14ac:dyDescent="0.25">
      <c r="A917" s="6">
        <v>45212</v>
      </c>
      <c r="B917" s="5">
        <v>111</v>
      </c>
      <c r="C917" s="5">
        <v>19</v>
      </c>
      <c r="D917" s="5">
        <f t="shared" si="28"/>
        <v>8.3333333333333332E-3</v>
      </c>
      <c r="E917" s="5">
        <f t="shared" si="29"/>
        <v>6.6666666666666666E-2</v>
      </c>
      <c r="F917" s="5">
        <v>12.5</v>
      </c>
      <c r="G917" s="5">
        <v>0</v>
      </c>
      <c r="H917" s="5">
        <v>-2</v>
      </c>
      <c r="I917" s="5">
        <v>1.2</v>
      </c>
      <c r="J917" s="5">
        <v>0.5</v>
      </c>
      <c r="M917" s="5">
        <v>2</v>
      </c>
      <c r="N917" s="5">
        <v>1</v>
      </c>
      <c r="P917" s="5" t="s">
        <v>382</v>
      </c>
    </row>
    <row r="918" spans="1:16" s="5" customFormat="1" x14ac:dyDescent="0.25">
      <c r="A918" s="6">
        <v>45212</v>
      </c>
      <c r="B918" s="5">
        <v>112</v>
      </c>
      <c r="C918" s="5">
        <v>22</v>
      </c>
      <c r="D918" s="5">
        <f t="shared" si="28"/>
        <v>8.3333333333333332E-3</v>
      </c>
      <c r="E918" s="5">
        <f t="shared" si="29"/>
        <v>6.6666666666666666E-2</v>
      </c>
      <c r="F918" s="5">
        <v>12.5</v>
      </c>
      <c r="G918" s="5">
        <v>0</v>
      </c>
      <c r="H918" s="5">
        <v>1</v>
      </c>
      <c r="I918" s="5">
        <v>1</v>
      </c>
      <c r="J918" s="5">
        <v>0.5</v>
      </c>
      <c r="M918" s="5">
        <v>2</v>
      </c>
      <c r="N918" s="5">
        <v>1</v>
      </c>
      <c r="P918" s="5" t="s">
        <v>376</v>
      </c>
    </row>
    <row r="919" spans="1:16" s="5" customFormat="1" x14ac:dyDescent="0.25">
      <c r="A919" s="6">
        <v>45212</v>
      </c>
      <c r="B919" s="5">
        <v>112</v>
      </c>
      <c r="C919" s="5">
        <v>24</v>
      </c>
      <c r="D919" s="5">
        <f t="shared" si="28"/>
        <v>8.3333333333333332E-3</v>
      </c>
      <c r="E919" s="5">
        <f t="shared" si="29"/>
        <v>6.6666666666666666E-2</v>
      </c>
      <c r="F919" s="5">
        <v>12.5</v>
      </c>
      <c r="G919" s="5">
        <v>0</v>
      </c>
      <c r="H919" s="5">
        <v>-2</v>
      </c>
      <c r="I919" s="5">
        <v>1.2</v>
      </c>
      <c r="J919" s="5">
        <v>0.5</v>
      </c>
      <c r="M919" s="5">
        <v>2</v>
      </c>
      <c r="N919" s="5">
        <v>1</v>
      </c>
      <c r="P919" s="5" t="s">
        <v>377</v>
      </c>
    </row>
    <row r="920" spans="1:16" s="5" customFormat="1" x14ac:dyDescent="0.25">
      <c r="A920" s="6">
        <v>45212</v>
      </c>
      <c r="B920" s="5">
        <v>112</v>
      </c>
      <c r="C920" s="5">
        <v>25</v>
      </c>
      <c r="D920" s="5">
        <f t="shared" si="28"/>
        <v>8.3333333333333332E-3</v>
      </c>
      <c r="E920" s="5">
        <f t="shared" si="29"/>
        <v>6.6666666666666666E-2</v>
      </c>
      <c r="F920" s="5">
        <v>12.5</v>
      </c>
      <c r="G920" s="5">
        <v>0</v>
      </c>
      <c r="H920" s="5">
        <v>1</v>
      </c>
      <c r="I920" s="5">
        <v>1</v>
      </c>
      <c r="J920" s="5">
        <v>0.5</v>
      </c>
      <c r="M920" s="5">
        <v>2</v>
      </c>
      <c r="N920" s="5">
        <v>1</v>
      </c>
      <c r="P920" s="5" t="s">
        <v>378</v>
      </c>
    </row>
    <row r="921" spans="1:16" s="5" customFormat="1" x14ac:dyDescent="0.25">
      <c r="A921" s="6">
        <v>45212</v>
      </c>
      <c r="B921" s="5">
        <v>112</v>
      </c>
      <c r="C921" s="5">
        <v>26</v>
      </c>
      <c r="D921" s="5">
        <f t="shared" si="28"/>
        <v>8.3333333333333332E-3</v>
      </c>
      <c r="E921" s="5">
        <f t="shared" si="29"/>
        <v>6.6666666666666666E-2</v>
      </c>
      <c r="F921" s="5">
        <v>12.5</v>
      </c>
      <c r="G921" s="5">
        <v>0</v>
      </c>
      <c r="H921" s="5">
        <v>-2</v>
      </c>
      <c r="I921" s="5">
        <v>1.2</v>
      </c>
      <c r="J921" s="5">
        <v>0.5</v>
      </c>
      <c r="M921" s="5">
        <v>2</v>
      </c>
      <c r="N921" s="5">
        <v>1</v>
      </c>
      <c r="P921" s="5" t="s">
        <v>381</v>
      </c>
    </row>
    <row r="922" spans="1:16" s="5" customFormat="1" x14ac:dyDescent="0.25">
      <c r="A922" s="6">
        <v>45212</v>
      </c>
      <c r="B922" s="5">
        <v>112</v>
      </c>
      <c r="C922" s="5">
        <v>27</v>
      </c>
      <c r="D922" s="5">
        <f t="shared" si="28"/>
        <v>8.3333333333333332E-3</v>
      </c>
      <c r="E922" s="5">
        <f t="shared" si="29"/>
        <v>6.6666666666666666E-2</v>
      </c>
      <c r="F922" s="5">
        <v>12.5</v>
      </c>
      <c r="G922" s="5">
        <v>0</v>
      </c>
      <c r="H922" s="5">
        <v>-2</v>
      </c>
      <c r="I922" s="5">
        <v>1.2</v>
      </c>
      <c r="J922" s="5">
        <v>0.5</v>
      </c>
      <c r="M922" s="5">
        <v>2</v>
      </c>
      <c r="N922" s="5">
        <v>1</v>
      </c>
      <c r="P922" s="5" t="s">
        <v>382</v>
      </c>
    </row>
    <row r="923" spans="1:16" s="5" customFormat="1" x14ac:dyDescent="0.25">
      <c r="A923" s="6">
        <v>45219</v>
      </c>
      <c r="B923" s="5">
        <v>113</v>
      </c>
      <c r="C923" s="5">
        <v>3</v>
      </c>
      <c r="D923" s="5">
        <f t="shared" si="28"/>
        <v>8.3333333333333332E-3</v>
      </c>
      <c r="E923" s="5">
        <f t="shared" si="29"/>
        <v>6.6666666666666666E-2</v>
      </c>
      <c r="F923" s="5">
        <v>12.5</v>
      </c>
      <c r="G923" s="5">
        <v>0</v>
      </c>
      <c r="H923" s="5">
        <v>-2</v>
      </c>
      <c r="I923" s="5">
        <v>1.2</v>
      </c>
      <c r="J923" s="5">
        <v>0.5</v>
      </c>
      <c r="M923" s="5">
        <v>2</v>
      </c>
      <c r="N923" s="5">
        <v>1</v>
      </c>
      <c r="P923" s="5" t="s">
        <v>386</v>
      </c>
    </row>
    <row r="924" spans="1:16" s="5" customFormat="1" x14ac:dyDescent="0.25">
      <c r="A924" s="6">
        <v>45219</v>
      </c>
      <c r="B924" s="5">
        <v>113</v>
      </c>
      <c r="C924" s="5">
        <v>5</v>
      </c>
      <c r="D924" s="5">
        <f t="shared" si="28"/>
        <v>8.3333333333333332E-3</v>
      </c>
      <c r="E924" s="5">
        <f t="shared" si="29"/>
        <v>6.6666666666666666E-2</v>
      </c>
      <c r="F924" s="5">
        <v>12.5</v>
      </c>
      <c r="G924" s="5">
        <v>0</v>
      </c>
      <c r="H924" s="5">
        <v>-2</v>
      </c>
      <c r="I924" s="5">
        <v>1.2</v>
      </c>
      <c r="J924" s="5">
        <v>0.5</v>
      </c>
      <c r="M924" s="5">
        <v>2</v>
      </c>
      <c r="N924" s="5">
        <v>1</v>
      </c>
      <c r="P924" s="5" t="s">
        <v>387</v>
      </c>
    </row>
    <row r="925" spans="1:16" s="5" customFormat="1" x14ac:dyDescent="0.25">
      <c r="A925" s="6">
        <v>45219</v>
      </c>
      <c r="B925" s="5">
        <v>113</v>
      </c>
      <c r="C925" s="5">
        <v>7</v>
      </c>
      <c r="D925" s="5">
        <f t="shared" si="28"/>
        <v>8.3333333333333332E-3</v>
      </c>
      <c r="E925" s="5">
        <f t="shared" si="29"/>
        <v>6.6666666666666666E-2</v>
      </c>
      <c r="F925" s="5">
        <v>12.5</v>
      </c>
      <c r="G925" s="5">
        <v>0</v>
      </c>
      <c r="H925" s="5">
        <v>-2</v>
      </c>
      <c r="I925" s="5">
        <v>1.2</v>
      </c>
      <c r="J925" s="5">
        <v>0.5</v>
      </c>
      <c r="M925" s="5">
        <v>2</v>
      </c>
      <c r="N925" s="5">
        <v>1</v>
      </c>
      <c r="P925" s="5" t="s">
        <v>388</v>
      </c>
    </row>
    <row r="926" spans="1:16" s="5" customFormat="1" x14ac:dyDescent="0.25">
      <c r="A926" s="6">
        <v>45219</v>
      </c>
      <c r="B926" s="5">
        <v>114</v>
      </c>
      <c r="C926" s="5">
        <v>10</v>
      </c>
      <c r="D926" s="5">
        <f t="shared" si="28"/>
        <v>8.3333333333333332E-3</v>
      </c>
      <c r="E926" s="5">
        <f t="shared" si="29"/>
        <v>6.6666666666666666E-2</v>
      </c>
      <c r="F926" s="5">
        <v>12.5</v>
      </c>
      <c r="G926" s="5">
        <v>0</v>
      </c>
      <c r="H926" s="5">
        <v>-2</v>
      </c>
      <c r="I926" s="5">
        <v>1.2</v>
      </c>
      <c r="J926" s="5">
        <v>0.5</v>
      </c>
      <c r="M926" s="5">
        <v>2</v>
      </c>
      <c r="N926" s="5">
        <v>1</v>
      </c>
      <c r="P926" s="5" t="s">
        <v>386</v>
      </c>
    </row>
    <row r="927" spans="1:16" s="5" customFormat="1" x14ac:dyDescent="0.25">
      <c r="A927" s="6">
        <v>45219</v>
      </c>
      <c r="B927" s="5">
        <v>114</v>
      </c>
      <c r="C927" s="5">
        <v>12</v>
      </c>
      <c r="D927" s="5">
        <f t="shared" si="28"/>
        <v>8.3333333333333332E-3</v>
      </c>
      <c r="E927" s="5">
        <f t="shared" si="29"/>
        <v>6.6666666666666666E-2</v>
      </c>
      <c r="F927" s="5">
        <v>12.5</v>
      </c>
      <c r="G927" s="5">
        <v>0</v>
      </c>
      <c r="H927" s="5">
        <v>-2</v>
      </c>
      <c r="I927" s="5">
        <v>1.2</v>
      </c>
      <c r="J927" s="5">
        <v>0.5</v>
      </c>
      <c r="M927" s="5">
        <v>2</v>
      </c>
      <c r="N927" s="5">
        <v>1</v>
      </c>
      <c r="P927" s="5" t="s">
        <v>387</v>
      </c>
    </row>
    <row r="928" spans="1:16" s="5" customFormat="1" x14ac:dyDescent="0.25">
      <c r="A928" s="6">
        <v>45219</v>
      </c>
      <c r="B928" s="5">
        <v>114</v>
      </c>
      <c r="C928" s="5">
        <v>13</v>
      </c>
      <c r="D928" s="5">
        <f t="shared" si="28"/>
        <v>8.3333333333333332E-3</v>
      </c>
      <c r="E928" s="5">
        <f t="shared" si="29"/>
        <v>6.6666666666666666E-2</v>
      </c>
      <c r="F928" s="5">
        <v>12.5</v>
      </c>
      <c r="G928" s="5">
        <v>0</v>
      </c>
      <c r="H928" s="5">
        <v>-2</v>
      </c>
      <c r="I928" s="5">
        <v>1.2</v>
      </c>
      <c r="J928" s="5">
        <v>0.5</v>
      </c>
      <c r="M928" s="5">
        <v>2</v>
      </c>
      <c r="N928" s="5">
        <v>1</v>
      </c>
      <c r="P928" s="5" t="s">
        <v>388</v>
      </c>
    </row>
    <row r="929" spans="1:16" s="5" customFormat="1" x14ac:dyDescent="0.25">
      <c r="A929" s="6">
        <v>45219</v>
      </c>
      <c r="B929" s="5">
        <v>114</v>
      </c>
      <c r="C929" s="5">
        <v>14</v>
      </c>
      <c r="D929" s="5">
        <f t="shared" si="28"/>
        <v>8.3333333333333332E-3</v>
      </c>
      <c r="E929" s="5">
        <f t="shared" si="29"/>
        <v>6.6666666666666666E-2</v>
      </c>
      <c r="F929" s="5">
        <v>12.5</v>
      </c>
      <c r="G929" s="5">
        <v>0</v>
      </c>
      <c r="H929" s="5">
        <v>-2</v>
      </c>
      <c r="I929" s="5">
        <v>1.2</v>
      </c>
      <c r="J929" s="5">
        <v>0.5</v>
      </c>
      <c r="M929" s="5">
        <v>2</v>
      </c>
      <c r="N929" s="5">
        <v>1</v>
      </c>
      <c r="P929" s="5" t="s">
        <v>379</v>
      </c>
    </row>
    <row r="930" spans="1:16" s="5" customFormat="1" x14ac:dyDescent="0.25">
      <c r="A930" s="6">
        <v>45219</v>
      </c>
      <c r="B930" s="5">
        <v>114</v>
      </c>
      <c r="C930" s="5">
        <v>15</v>
      </c>
      <c r="D930" s="5">
        <f t="shared" si="28"/>
        <v>8.3333333333333332E-3</v>
      </c>
      <c r="E930" s="5">
        <f t="shared" si="29"/>
        <v>6.6666666666666666E-2</v>
      </c>
      <c r="F930" s="5">
        <v>12.5</v>
      </c>
      <c r="G930" s="5">
        <v>0</v>
      </c>
      <c r="H930" s="5">
        <v>-2</v>
      </c>
      <c r="I930" s="5">
        <v>1.2</v>
      </c>
      <c r="J930" s="5">
        <v>0.5</v>
      </c>
      <c r="M930" s="5">
        <v>2</v>
      </c>
      <c r="N930" s="5">
        <v>1</v>
      </c>
      <c r="P930" s="5" t="s">
        <v>379</v>
      </c>
    </row>
    <row r="931" spans="1:16" s="5" customFormat="1" x14ac:dyDescent="0.25">
      <c r="A931" s="6">
        <v>45231</v>
      </c>
      <c r="B931" s="5">
        <v>115</v>
      </c>
      <c r="C931" s="5">
        <v>3</v>
      </c>
      <c r="D931" s="5">
        <f t="shared" si="28"/>
        <v>8.3333333333333332E-3</v>
      </c>
      <c r="E931" s="5">
        <f t="shared" si="29"/>
        <v>6.6666666666666666E-2</v>
      </c>
      <c r="F931" s="5">
        <v>12.5</v>
      </c>
      <c r="G931" s="5">
        <v>0</v>
      </c>
      <c r="H931" s="5">
        <v>-2</v>
      </c>
      <c r="I931" s="5">
        <v>1.2</v>
      </c>
      <c r="J931" s="5">
        <v>0.5</v>
      </c>
      <c r="M931" s="5">
        <v>2</v>
      </c>
      <c r="N931" s="5">
        <v>1</v>
      </c>
      <c r="P931" s="5" t="s">
        <v>386</v>
      </c>
    </row>
    <row r="932" spans="1:16" s="5" customFormat="1" x14ac:dyDescent="0.25">
      <c r="A932" s="6">
        <v>45231</v>
      </c>
      <c r="B932" s="5">
        <v>115</v>
      </c>
      <c r="C932" s="5">
        <v>5</v>
      </c>
      <c r="D932" s="5">
        <f t="shared" si="28"/>
        <v>8.3333333333333332E-3</v>
      </c>
      <c r="E932" s="5">
        <f t="shared" si="29"/>
        <v>6.6666666666666666E-2</v>
      </c>
      <c r="F932" s="5">
        <v>12.5</v>
      </c>
      <c r="G932" s="5">
        <v>0</v>
      </c>
      <c r="H932" s="5">
        <v>-2</v>
      </c>
      <c r="I932" s="5">
        <v>1.2</v>
      </c>
      <c r="J932" s="5">
        <v>0.5</v>
      </c>
      <c r="M932" s="5">
        <v>2</v>
      </c>
      <c r="N932" s="5">
        <v>1</v>
      </c>
      <c r="P932" s="5" t="s">
        <v>387</v>
      </c>
    </row>
    <row r="933" spans="1:16" s="5" customFormat="1" x14ac:dyDescent="0.25">
      <c r="A933" s="6">
        <v>45231</v>
      </c>
      <c r="B933" s="5">
        <v>115</v>
      </c>
      <c r="C933" s="5">
        <v>6</v>
      </c>
      <c r="D933" s="5">
        <f t="shared" si="28"/>
        <v>8.3333333333333332E-3</v>
      </c>
      <c r="E933" s="5">
        <f t="shared" si="29"/>
        <v>6.6666666666666666E-2</v>
      </c>
      <c r="F933" s="5">
        <v>12.5</v>
      </c>
      <c r="G933" s="5">
        <v>0</v>
      </c>
      <c r="H933" s="5">
        <v>-2</v>
      </c>
      <c r="I933" s="5">
        <v>1.2</v>
      </c>
      <c r="J933" s="5">
        <v>0.5</v>
      </c>
      <c r="M933" s="5">
        <v>2</v>
      </c>
      <c r="N933" s="5">
        <v>1</v>
      </c>
      <c r="P933" s="5" t="s">
        <v>388</v>
      </c>
    </row>
    <row r="934" spans="1:16" s="5" customFormat="1" x14ac:dyDescent="0.25">
      <c r="A934" s="6">
        <v>45231</v>
      </c>
      <c r="B934" s="5">
        <v>115</v>
      </c>
      <c r="C934" s="5">
        <v>7</v>
      </c>
      <c r="D934" s="5">
        <f t="shared" si="28"/>
        <v>8.3333333333333332E-3</v>
      </c>
      <c r="E934" s="5">
        <f t="shared" si="29"/>
        <v>6.6666666666666666E-2</v>
      </c>
      <c r="F934" s="5">
        <v>12.5</v>
      </c>
      <c r="G934" s="5">
        <v>0</v>
      </c>
      <c r="H934" s="5">
        <v>-2</v>
      </c>
      <c r="I934" s="5">
        <v>1.2</v>
      </c>
      <c r="J934" s="5">
        <v>0.5</v>
      </c>
      <c r="M934" s="5">
        <v>2</v>
      </c>
      <c r="N934" s="5">
        <v>1</v>
      </c>
      <c r="P934" s="5" t="s">
        <v>389</v>
      </c>
    </row>
    <row r="935" spans="1:16" s="5" customFormat="1" x14ac:dyDescent="0.25">
      <c r="A935" s="6">
        <v>45231</v>
      </c>
      <c r="B935" s="5">
        <v>115</v>
      </c>
      <c r="C935" s="5">
        <v>8</v>
      </c>
      <c r="D935" s="5">
        <f t="shared" si="28"/>
        <v>8.3333333333333332E-3</v>
      </c>
      <c r="E935" s="5">
        <f t="shared" si="29"/>
        <v>6.6666666666666666E-2</v>
      </c>
      <c r="F935" s="5">
        <v>12.5</v>
      </c>
      <c r="G935" s="5">
        <v>0</v>
      </c>
      <c r="H935" s="5">
        <v>-2</v>
      </c>
      <c r="I935" s="5">
        <v>1.2</v>
      </c>
      <c r="J935" s="5">
        <v>0.5</v>
      </c>
      <c r="M935" s="5">
        <v>2</v>
      </c>
      <c r="N935" s="5">
        <v>1</v>
      </c>
      <c r="P935" s="5" t="s">
        <v>394</v>
      </c>
    </row>
    <row r="936" spans="1:16" s="5" customFormat="1" x14ac:dyDescent="0.25">
      <c r="A936" s="6">
        <v>45231</v>
      </c>
      <c r="B936" s="5">
        <v>115</v>
      </c>
      <c r="C936" s="5">
        <v>10</v>
      </c>
      <c r="D936" s="5">
        <f t="shared" si="28"/>
        <v>8.3333333333333332E-3</v>
      </c>
      <c r="E936" s="5">
        <f t="shared" si="29"/>
        <v>6.6666666666666666E-2</v>
      </c>
      <c r="F936" s="5">
        <v>12.5</v>
      </c>
      <c r="G936" s="5">
        <v>0</v>
      </c>
      <c r="H936" s="5">
        <v>-2</v>
      </c>
      <c r="I936" s="5">
        <v>1.2</v>
      </c>
      <c r="J936" s="5">
        <v>0.5</v>
      </c>
      <c r="M936" s="5">
        <v>2</v>
      </c>
      <c r="N936" s="5">
        <v>1</v>
      </c>
      <c r="P936" s="5" t="s">
        <v>395</v>
      </c>
    </row>
    <row r="937" spans="1:16" s="5" customFormat="1" x14ac:dyDescent="0.25">
      <c r="A937" s="6">
        <v>45231</v>
      </c>
      <c r="B937" s="5">
        <v>115</v>
      </c>
      <c r="C937" s="5">
        <v>11</v>
      </c>
      <c r="D937" s="5">
        <f t="shared" si="28"/>
        <v>8.3333333333333332E-3</v>
      </c>
      <c r="E937" s="5">
        <f t="shared" si="29"/>
        <v>6.6666666666666666E-2</v>
      </c>
      <c r="F937" s="5">
        <v>12.5</v>
      </c>
      <c r="G937" s="5">
        <v>0</v>
      </c>
      <c r="H937" s="5">
        <v>-2</v>
      </c>
      <c r="I937" s="5">
        <v>1.2</v>
      </c>
      <c r="J937" s="5">
        <v>0.5</v>
      </c>
      <c r="M937" s="5">
        <v>2</v>
      </c>
      <c r="N937" s="5">
        <v>1</v>
      </c>
      <c r="P937" s="5" t="s">
        <v>402</v>
      </c>
    </row>
    <row r="938" spans="1:16" s="5" customFormat="1" x14ac:dyDescent="0.25">
      <c r="A938" s="6">
        <v>45231</v>
      </c>
      <c r="B938" s="5">
        <v>116</v>
      </c>
      <c r="C938" s="5">
        <v>14</v>
      </c>
      <c r="D938" s="5">
        <f t="shared" si="28"/>
        <v>8.3333333333333332E-3</v>
      </c>
      <c r="E938" s="5">
        <f t="shared" si="29"/>
        <v>6.6666666666666666E-2</v>
      </c>
      <c r="F938" s="5">
        <v>12.5</v>
      </c>
      <c r="G938" s="5">
        <v>0</v>
      </c>
      <c r="H938" s="5">
        <v>-2</v>
      </c>
      <c r="I938" s="5">
        <v>1.2</v>
      </c>
      <c r="J938" s="5">
        <v>0.5</v>
      </c>
      <c r="M938" s="5">
        <v>2</v>
      </c>
      <c r="N938" s="5">
        <v>1</v>
      </c>
      <c r="P938" s="5" t="s">
        <v>389</v>
      </c>
    </row>
    <row r="939" spans="1:16" s="5" customFormat="1" x14ac:dyDescent="0.25">
      <c r="A939" s="6">
        <v>45231</v>
      </c>
      <c r="B939" s="5">
        <v>116</v>
      </c>
      <c r="C939" s="5">
        <v>16</v>
      </c>
      <c r="D939" s="5">
        <f t="shared" si="28"/>
        <v>8.3333333333333332E-3</v>
      </c>
      <c r="E939" s="5">
        <f t="shared" si="29"/>
        <v>6.6666666666666666E-2</v>
      </c>
      <c r="F939" s="5">
        <v>12.5</v>
      </c>
      <c r="G939" s="5">
        <v>0</v>
      </c>
      <c r="H939" s="5">
        <v>-2</v>
      </c>
      <c r="I939" s="5">
        <v>1.2</v>
      </c>
      <c r="J939" s="5">
        <v>0.5</v>
      </c>
      <c r="M939" s="5">
        <v>2</v>
      </c>
      <c r="N939" s="5">
        <v>1</v>
      </c>
      <c r="P939" s="5" t="s">
        <v>390</v>
      </c>
    </row>
    <row r="940" spans="1:16" s="5" customFormat="1" x14ac:dyDescent="0.25">
      <c r="A940" s="6">
        <v>45231</v>
      </c>
      <c r="B940" s="5">
        <v>116</v>
      </c>
      <c r="C940" s="5">
        <v>17</v>
      </c>
      <c r="D940" s="5">
        <f t="shared" si="28"/>
        <v>8.3333333333333332E-3</v>
      </c>
      <c r="E940" s="5">
        <f t="shared" si="29"/>
        <v>6.6666666666666666E-2</v>
      </c>
      <c r="F940" s="5">
        <v>12.5</v>
      </c>
      <c r="G940" s="5">
        <v>0</v>
      </c>
      <c r="H940" s="5">
        <v>-2</v>
      </c>
      <c r="I940" s="5">
        <v>1.2</v>
      </c>
      <c r="J940" s="5">
        <v>0.5</v>
      </c>
      <c r="M940" s="5">
        <v>2</v>
      </c>
      <c r="N940" s="5">
        <v>1</v>
      </c>
      <c r="P940" s="5" t="s">
        <v>387</v>
      </c>
    </row>
    <row r="941" spans="1:16" s="5" customFormat="1" x14ac:dyDescent="0.25">
      <c r="A941" s="6">
        <v>45231</v>
      </c>
      <c r="B941" s="5">
        <v>116</v>
      </c>
      <c r="C941" s="5">
        <v>18</v>
      </c>
      <c r="D941" s="5">
        <f t="shared" si="28"/>
        <v>8.3333333333333332E-3</v>
      </c>
      <c r="E941" s="5">
        <f t="shared" si="29"/>
        <v>6.6666666666666666E-2</v>
      </c>
      <c r="F941" s="5">
        <v>12.5</v>
      </c>
      <c r="G941" s="5">
        <v>0</v>
      </c>
      <c r="H941" s="5">
        <v>-2</v>
      </c>
      <c r="I941" s="5">
        <v>1.2</v>
      </c>
      <c r="J941" s="5">
        <v>0.5</v>
      </c>
      <c r="M941" s="5">
        <v>2</v>
      </c>
      <c r="N941" s="5">
        <v>1</v>
      </c>
      <c r="P941" s="5" t="s">
        <v>391</v>
      </c>
    </row>
    <row r="942" spans="1:16" s="5" customFormat="1" x14ac:dyDescent="0.25">
      <c r="A942" s="6">
        <v>45231</v>
      </c>
      <c r="B942" s="5">
        <v>116</v>
      </c>
      <c r="C942" s="5">
        <v>19</v>
      </c>
      <c r="D942" s="5">
        <f t="shared" si="28"/>
        <v>8.3333333333333332E-3</v>
      </c>
      <c r="E942" s="5">
        <f t="shared" si="29"/>
        <v>6.6666666666666666E-2</v>
      </c>
      <c r="F942" s="5">
        <v>12.5</v>
      </c>
      <c r="G942" s="5">
        <v>0</v>
      </c>
      <c r="H942" s="5">
        <v>-2</v>
      </c>
      <c r="I942" s="5">
        <v>1.2</v>
      </c>
      <c r="J942" s="5">
        <v>0.5</v>
      </c>
      <c r="M942" s="5">
        <v>2</v>
      </c>
      <c r="N942" s="5">
        <v>1</v>
      </c>
      <c r="P942" s="5" t="s">
        <v>394</v>
      </c>
    </row>
    <row r="943" spans="1:16" s="5" customFormat="1" x14ac:dyDescent="0.25">
      <c r="A943" s="6">
        <v>45231</v>
      </c>
      <c r="B943" s="5">
        <v>116</v>
      </c>
      <c r="C943" s="5">
        <v>21</v>
      </c>
      <c r="D943" s="5">
        <f t="shared" si="28"/>
        <v>8.3333333333333332E-3</v>
      </c>
      <c r="E943" s="5">
        <f t="shared" si="29"/>
        <v>6.6666666666666666E-2</v>
      </c>
      <c r="F943" s="5">
        <v>12.5</v>
      </c>
      <c r="G943" s="5">
        <v>0</v>
      </c>
      <c r="H943" s="5">
        <v>-2</v>
      </c>
      <c r="I943" s="5">
        <v>1.2</v>
      </c>
      <c r="J943" s="5">
        <v>0.5</v>
      </c>
      <c r="M943" s="5">
        <v>2</v>
      </c>
      <c r="N943" s="5">
        <v>1</v>
      </c>
      <c r="P943" s="5" t="s">
        <v>395</v>
      </c>
    </row>
    <row r="944" spans="1:16" s="5" customFormat="1" x14ac:dyDescent="0.25">
      <c r="A944" s="6">
        <v>45236</v>
      </c>
      <c r="B944" s="5">
        <v>117</v>
      </c>
      <c r="C944" s="5">
        <v>1</v>
      </c>
      <c r="D944" s="5">
        <f t="shared" si="28"/>
        <v>8.3333333333333332E-3</v>
      </c>
      <c r="E944" s="5">
        <f t="shared" si="29"/>
        <v>6.6666666666666666E-2</v>
      </c>
      <c r="F944" s="5">
        <v>12.5</v>
      </c>
      <c r="G944" s="5">
        <v>0</v>
      </c>
      <c r="H944" s="5">
        <v>-2</v>
      </c>
      <c r="I944" s="5">
        <v>1.2</v>
      </c>
      <c r="J944" s="5">
        <v>0.5</v>
      </c>
      <c r="M944" s="5">
        <v>1</v>
      </c>
      <c r="N944" s="5">
        <v>1</v>
      </c>
      <c r="P944" s="5" t="s">
        <v>441</v>
      </c>
    </row>
    <row r="945" spans="1:16" s="5" customFormat="1" x14ac:dyDescent="0.25">
      <c r="A945" s="6">
        <v>45236</v>
      </c>
      <c r="B945" s="5">
        <v>118</v>
      </c>
      <c r="C945" s="5">
        <v>5</v>
      </c>
      <c r="D945" s="5">
        <f t="shared" si="28"/>
        <v>8.3333333333333332E-3</v>
      </c>
      <c r="E945" s="5">
        <f t="shared" si="29"/>
        <v>6.6666666666666666E-2</v>
      </c>
      <c r="F945" s="5">
        <v>12.5</v>
      </c>
      <c r="G945" s="5">
        <v>0</v>
      </c>
      <c r="H945" s="5">
        <v>-2</v>
      </c>
      <c r="I945" s="5">
        <v>1.2</v>
      </c>
      <c r="J945" s="5">
        <v>2.4</v>
      </c>
      <c r="M945" s="5">
        <v>1</v>
      </c>
      <c r="N945" s="5">
        <v>1</v>
      </c>
      <c r="P945" s="5" t="s">
        <v>379</v>
      </c>
    </row>
    <row r="946" spans="1:16" s="5" customFormat="1" x14ac:dyDescent="0.25">
      <c r="A946" s="6">
        <v>45236</v>
      </c>
      <c r="B946" s="5">
        <v>118</v>
      </c>
      <c r="C946" s="5">
        <v>6</v>
      </c>
      <c r="D946" s="5">
        <f t="shared" si="28"/>
        <v>8.3333333333333332E-3</v>
      </c>
      <c r="E946" s="5">
        <f t="shared" si="29"/>
        <v>6.6666666666666666E-2</v>
      </c>
      <c r="F946" s="5">
        <v>12.5</v>
      </c>
      <c r="G946" s="5">
        <v>0</v>
      </c>
      <c r="H946" s="5">
        <v>-2</v>
      </c>
      <c r="I946" s="5">
        <v>1.2</v>
      </c>
      <c r="J946" s="5">
        <v>1</v>
      </c>
      <c r="M946" s="5">
        <v>1</v>
      </c>
      <c r="N946" s="5">
        <v>1</v>
      </c>
      <c r="P946" s="5" t="s">
        <v>379</v>
      </c>
    </row>
    <row r="947" spans="1:16" s="5" customFormat="1" x14ac:dyDescent="0.25">
      <c r="A947" s="6">
        <v>45236</v>
      </c>
      <c r="B947" s="5">
        <v>118</v>
      </c>
      <c r="C947" s="5">
        <v>7</v>
      </c>
      <c r="D947" s="5">
        <f t="shared" si="28"/>
        <v>8.3333333333333332E-3</v>
      </c>
      <c r="E947" s="5">
        <f t="shared" si="29"/>
        <v>6.6666666666666666E-2</v>
      </c>
      <c r="F947" s="5">
        <v>12.5</v>
      </c>
      <c r="G947" s="5">
        <v>0</v>
      </c>
      <c r="H947" s="5">
        <v>-2</v>
      </c>
      <c r="I947" s="5">
        <v>1.2</v>
      </c>
      <c r="J947" s="5">
        <v>1.5</v>
      </c>
      <c r="M947" s="5">
        <v>1</v>
      </c>
      <c r="N947" s="5">
        <v>1</v>
      </c>
      <c r="P947" s="5" t="s">
        <v>379</v>
      </c>
    </row>
    <row r="948" spans="1:16" s="5" customFormat="1" x14ac:dyDescent="0.25">
      <c r="A948" s="6">
        <v>45236</v>
      </c>
      <c r="B948" s="5">
        <v>118</v>
      </c>
      <c r="C948" s="5">
        <v>8</v>
      </c>
      <c r="D948" s="5">
        <f t="shared" si="28"/>
        <v>8.3333333333333332E-3</v>
      </c>
      <c r="E948" s="5">
        <f t="shared" si="29"/>
        <v>6.6666666666666666E-2</v>
      </c>
      <c r="F948" s="5">
        <v>12.5</v>
      </c>
      <c r="G948" s="5">
        <v>0</v>
      </c>
      <c r="H948" s="5">
        <v>-2</v>
      </c>
      <c r="I948" s="5">
        <v>1.2</v>
      </c>
      <c r="J948" s="5">
        <v>1.5</v>
      </c>
      <c r="M948" s="5">
        <v>1</v>
      </c>
      <c r="N948" s="5">
        <v>1</v>
      </c>
      <c r="P948" s="5" t="s">
        <v>379</v>
      </c>
    </row>
    <row r="949" spans="1:16" x14ac:dyDescent="0.25">
      <c r="A949" s="1">
        <v>45239</v>
      </c>
      <c r="B949">
        <v>119</v>
      </c>
      <c r="C949">
        <v>1</v>
      </c>
      <c r="D949" s="5">
        <f t="shared" si="28"/>
        <v>8.3333333333333332E-3</v>
      </c>
      <c r="E949" s="5">
        <f t="shared" si="29"/>
        <v>6.6666666666666666E-2</v>
      </c>
      <c r="F949" s="5">
        <v>12.5</v>
      </c>
      <c r="G949" s="5">
        <v>0</v>
      </c>
      <c r="H949" s="5">
        <v>-2</v>
      </c>
      <c r="I949" s="5">
        <v>1.2</v>
      </c>
      <c r="J949" s="5">
        <v>1.5</v>
      </c>
      <c r="K949" s="5"/>
      <c r="L949" s="5"/>
      <c r="M949" s="5">
        <v>1</v>
      </c>
      <c r="N949" s="5">
        <v>1</v>
      </c>
      <c r="O949" s="5"/>
      <c r="P949" s="5" t="s">
        <v>441</v>
      </c>
    </row>
    <row r="950" spans="1:16" s="5" customFormat="1" x14ac:dyDescent="0.25">
      <c r="A950" s="6">
        <v>45239</v>
      </c>
      <c r="B950" s="5">
        <v>119</v>
      </c>
      <c r="C950" s="5">
        <v>2</v>
      </c>
      <c r="D950" s="5">
        <f t="shared" si="28"/>
        <v>8.3333333333333332E-3</v>
      </c>
      <c r="E950" s="5">
        <f t="shared" si="29"/>
        <v>6.6666666666666666E-2</v>
      </c>
      <c r="F950" s="5">
        <v>12.5</v>
      </c>
      <c r="G950" s="5">
        <v>0</v>
      </c>
      <c r="H950" s="5">
        <v>-2</v>
      </c>
      <c r="I950" s="5">
        <v>1.2</v>
      </c>
      <c r="J950" s="5">
        <v>1.5</v>
      </c>
      <c r="M950" s="5">
        <v>1</v>
      </c>
      <c r="N950" s="5">
        <v>1</v>
      </c>
      <c r="P950" s="5" t="s">
        <v>403</v>
      </c>
    </row>
    <row r="951" spans="1:16" s="5" customFormat="1" x14ac:dyDescent="0.25">
      <c r="A951" s="6">
        <v>45239</v>
      </c>
      <c r="B951" s="5">
        <v>119</v>
      </c>
      <c r="C951" s="5">
        <v>3</v>
      </c>
      <c r="D951" s="5">
        <f t="shared" si="28"/>
        <v>8.3333333333333332E-3</v>
      </c>
      <c r="E951" s="5">
        <f t="shared" si="29"/>
        <v>6.6666666666666666E-2</v>
      </c>
      <c r="F951" s="5">
        <v>12.5</v>
      </c>
      <c r="G951" s="5">
        <v>0</v>
      </c>
      <c r="H951" s="5">
        <v>-2</v>
      </c>
      <c r="I951" s="5">
        <v>1.2</v>
      </c>
      <c r="J951" s="5">
        <v>1.5</v>
      </c>
      <c r="M951" s="5">
        <v>1</v>
      </c>
      <c r="N951" s="5">
        <v>1</v>
      </c>
      <c r="P951" s="5" t="s">
        <v>404</v>
      </c>
    </row>
    <row r="952" spans="1:16" s="5" customFormat="1" x14ac:dyDescent="0.25">
      <c r="A952" s="6">
        <v>45239</v>
      </c>
      <c r="B952" s="5">
        <v>119</v>
      </c>
      <c r="C952" s="5">
        <v>4</v>
      </c>
      <c r="D952" s="5">
        <f t="shared" si="28"/>
        <v>8.3333333333333332E-3</v>
      </c>
      <c r="E952" s="5">
        <f t="shared" si="29"/>
        <v>6.6666666666666666E-2</v>
      </c>
      <c r="F952" s="5">
        <v>12.5</v>
      </c>
      <c r="G952" s="5">
        <v>0</v>
      </c>
      <c r="H952" s="5">
        <v>-2</v>
      </c>
      <c r="I952" s="5">
        <v>1.2</v>
      </c>
      <c r="J952" s="5">
        <v>1.5</v>
      </c>
      <c r="M952" s="5">
        <v>1</v>
      </c>
      <c r="N952" s="5">
        <v>1</v>
      </c>
      <c r="P952" s="5" t="s">
        <v>405</v>
      </c>
    </row>
    <row r="953" spans="1:16" s="5" customFormat="1" x14ac:dyDescent="0.25">
      <c r="A953" s="6">
        <v>45239</v>
      </c>
      <c r="B953" s="5">
        <v>119</v>
      </c>
      <c r="C953" s="5">
        <v>5</v>
      </c>
      <c r="D953" s="5">
        <f t="shared" si="28"/>
        <v>8.3333333333333332E-3</v>
      </c>
      <c r="E953" s="5">
        <f t="shared" si="29"/>
        <v>6.6666666666666666E-2</v>
      </c>
      <c r="F953" s="5">
        <v>12.5</v>
      </c>
      <c r="G953" s="5">
        <v>0</v>
      </c>
      <c r="H953" s="5">
        <v>-2</v>
      </c>
      <c r="I953" s="5">
        <v>1.2</v>
      </c>
      <c r="J953" s="5">
        <v>1.5</v>
      </c>
      <c r="M953" s="5">
        <v>1</v>
      </c>
      <c r="N953" s="5">
        <v>1</v>
      </c>
      <c r="P953" s="5" t="s">
        <v>379</v>
      </c>
    </row>
    <row r="954" spans="1:16" s="5" customFormat="1" x14ac:dyDescent="0.25">
      <c r="A954" s="6">
        <v>45239</v>
      </c>
      <c r="B954" s="5">
        <v>119</v>
      </c>
      <c r="C954" s="5">
        <v>6</v>
      </c>
      <c r="D954" s="5">
        <f t="shared" si="28"/>
        <v>8.3333333333333332E-3</v>
      </c>
      <c r="E954" s="5">
        <f t="shared" si="29"/>
        <v>6.6666666666666666E-2</v>
      </c>
      <c r="F954" s="5">
        <v>12.5</v>
      </c>
      <c r="G954" s="5">
        <v>0</v>
      </c>
      <c r="H954" s="5">
        <v>-2</v>
      </c>
      <c r="I954" s="5">
        <v>1.2</v>
      </c>
      <c r="J954" s="5">
        <v>1.5</v>
      </c>
      <c r="M954" s="5">
        <v>1</v>
      </c>
      <c r="N954" s="5">
        <v>1</v>
      </c>
      <c r="P954" s="5" t="s">
        <v>379</v>
      </c>
    </row>
    <row r="955" spans="1:16" s="5" customFormat="1" x14ac:dyDescent="0.25">
      <c r="A955" s="6">
        <v>45239</v>
      </c>
      <c r="B955" s="5">
        <v>119</v>
      </c>
      <c r="C955" s="5">
        <v>7</v>
      </c>
      <c r="D955" s="5">
        <f t="shared" si="28"/>
        <v>8.3333333333333332E-3</v>
      </c>
      <c r="E955" s="5">
        <f t="shared" si="29"/>
        <v>6.6666666666666666E-2</v>
      </c>
      <c r="F955" s="5">
        <v>12.5</v>
      </c>
      <c r="G955" s="5">
        <v>0</v>
      </c>
      <c r="H955" s="5">
        <v>-2</v>
      </c>
      <c r="I955" s="5">
        <v>1.2</v>
      </c>
      <c r="J955" s="5">
        <v>1.5</v>
      </c>
      <c r="M955" s="5">
        <v>1</v>
      </c>
      <c r="N955" s="5">
        <v>1</v>
      </c>
      <c r="P955" s="5" t="s">
        <v>379</v>
      </c>
    </row>
    <row r="956" spans="1:16" s="5" customFormat="1" x14ac:dyDescent="0.25">
      <c r="A956" s="6">
        <v>45239</v>
      </c>
      <c r="B956" s="5">
        <v>119</v>
      </c>
      <c r="C956" s="5">
        <v>8</v>
      </c>
      <c r="D956" s="5">
        <f t="shared" si="28"/>
        <v>8.3333333333333332E-3</v>
      </c>
      <c r="E956" s="5">
        <f t="shared" si="29"/>
        <v>6.6666666666666666E-2</v>
      </c>
      <c r="F956" s="5">
        <v>12.5</v>
      </c>
      <c r="G956" s="5">
        <v>0</v>
      </c>
      <c r="H956" s="5">
        <v>-2</v>
      </c>
      <c r="I956" s="5">
        <v>1.2</v>
      </c>
      <c r="J956" s="5">
        <v>1.5</v>
      </c>
      <c r="M956" s="5">
        <v>1</v>
      </c>
      <c r="N956" s="5">
        <v>1</v>
      </c>
      <c r="P956" s="5" t="s">
        <v>406</v>
      </c>
    </row>
    <row r="957" spans="1:16" s="5" customFormat="1" x14ac:dyDescent="0.25">
      <c r="A957" s="6">
        <v>45239</v>
      </c>
      <c r="B957" s="5">
        <v>119</v>
      </c>
      <c r="C957" s="5">
        <v>9</v>
      </c>
      <c r="D957" s="5">
        <v>0.02</v>
      </c>
      <c r="E957" s="5">
        <v>0.14000000000000001</v>
      </c>
      <c r="F957" s="5">
        <v>6.25</v>
      </c>
      <c r="G957" s="5">
        <v>0</v>
      </c>
      <c r="H957" s="5">
        <v>-0.5</v>
      </c>
      <c r="I957" s="5">
        <v>1.2</v>
      </c>
      <c r="J957" s="5">
        <v>1.2</v>
      </c>
      <c r="M957" s="5">
        <v>1</v>
      </c>
      <c r="N957" s="5">
        <v>1</v>
      </c>
      <c r="P957" s="5" t="s">
        <v>379</v>
      </c>
    </row>
    <row r="958" spans="1:16" s="5" customFormat="1" x14ac:dyDescent="0.25">
      <c r="A958" s="6">
        <v>45239</v>
      </c>
      <c r="B958" s="5">
        <v>119</v>
      </c>
      <c r="C958" s="5">
        <v>10</v>
      </c>
      <c r="D958" s="5">
        <f t="shared" si="28"/>
        <v>8.3333333333333332E-3</v>
      </c>
      <c r="E958" s="5">
        <f t="shared" si="29"/>
        <v>6.6666666666666666E-2</v>
      </c>
      <c r="F958" s="5">
        <v>12.5</v>
      </c>
      <c r="G958" s="5">
        <v>0</v>
      </c>
      <c r="H958" s="5">
        <v>-2</v>
      </c>
      <c r="I958" s="5">
        <v>1.2</v>
      </c>
      <c r="J958" s="5">
        <v>1.5</v>
      </c>
      <c r="M958" s="5">
        <v>1</v>
      </c>
      <c r="N958" s="5">
        <v>1</v>
      </c>
      <c r="P958" s="5" t="s">
        <v>379</v>
      </c>
    </row>
    <row r="959" spans="1:16" s="5" customFormat="1" x14ac:dyDescent="0.25">
      <c r="A959" s="6">
        <v>45240</v>
      </c>
      <c r="B959" s="5">
        <v>120</v>
      </c>
      <c r="C959" s="5">
        <v>1</v>
      </c>
      <c r="D959" s="5">
        <f t="shared" si="28"/>
        <v>8.3333333333333332E-3</v>
      </c>
      <c r="E959" s="5">
        <f t="shared" si="29"/>
        <v>6.6666666666666666E-2</v>
      </c>
      <c r="F959" s="5">
        <v>12.5</v>
      </c>
      <c r="G959" s="5">
        <v>0</v>
      </c>
      <c r="H959" s="5">
        <v>-2</v>
      </c>
      <c r="I959" s="5">
        <v>1.2</v>
      </c>
      <c r="J959" s="5">
        <v>1.5</v>
      </c>
      <c r="M959" s="5">
        <v>1</v>
      </c>
      <c r="N959" s="5">
        <v>1</v>
      </c>
      <c r="P959" s="5" t="s">
        <v>441</v>
      </c>
    </row>
    <row r="960" spans="1:16" s="5" customFormat="1" x14ac:dyDescent="0.25">
      <c r="A960" s="6">
        <v>45240</v>
      </c>
      <c r="B960" s="5">
        <v>120</v>
      </c>
      <c r="C960" s="5">
        <v>2</v>
      </c>
      <c r="D960" s="5">
        <f t="shared" si="28"/>
        <v>8.3333333333333332E-3</v>
      </c>
      <c r="E960" s="5">
        <f t="shared" si="29"/>
        <v>6.6666666666666666E-2</v>
      </c>
      <c r="F960" s="5">
        <v>12.5</v>
      </c>
      <c r="G960" s="5">
        <v>0</v>
      </c>
      <c r="H960" s="5">
        <v>-2</v>
      </c>
      <c r="I960" s="5">
        <v>1.2</v>
      </c>
      <c r="J960" s="5">
        <v>1.5</v>
      </c>
      <c r="M960" s="5">
        <v>1</v>
      </c>
      <c r="N960" s="5">
        <v>1</v>
      </c>
      <c r="P960" s="5" t="s">
        <v>403</v>
      </c>
    </row>
    <row r="961" spans="1:16" s="5" customFormat="1" x14ac:dyDescent="0.25">
      <c r="A961" s="6">
        <v>45240</v>
      </c>
      <c r="B961" s="5">
        <v>120</v>
      </c>
      <c r="C961" s="5">
        <v>3</v>
      </c>
      <c r="D961" s="5">
        <f t="shared" si="28"/>
        <v>8.3333333333333332E-3</v>
      </c>
      <c r="E961" s="5">
        <f t="shared" si="29"/>
        <v>6.6666666666666666E-2</v>
      </c>
      <c r="F961" s="5">
        <v>12.5</v>
      </c>
      <c r="G961" s="5">
        <v>0</v>
      </c>
      <c r="H961" s="5">
        <v>-2</v>
      </c>
      <c r="I961" s="5">
        <v>1.2</v>
      </c>
      <c r="J961" s="5">
        <v>1.5</v>
      </c>
      <c r="M961" s="5">
        <v>1</v>
      </c>
      <c r="N961" s="5">
        <v>1</v>
      </c>
      <c r="P961" s="5" t="s">
        <v>404</v>
      </c>
    </row>
    <row r="962" spans="1:16" s="5" customFormat="1" x14ac:dyDescent="0.25">
      <c r="A962" s="6">
        <v>45240</v>
      </c>
      <c r="B962" s="5">
        <v>120</v>
      </c>
      <c r="C962" s="5">
        <v>4</v>
      </c>
      <c r="D962" s="5">
        <f t="shared" si="28"/>
        <v>8.3333333333333332E-3</v>
      </c>
      <c r="E962" s="5">
        <f t="shared" si="29"/>
        <v>6.6666666666666666E-2</v>
      </c>
      <c r="F962" s="5">
        <v>12.5</v>
      </c>
      <c r="G962" s="5">
        <v>0</v>
      </c>
      <c r="H962" s="5">
        <v>-2</v>
      </c>
      <c r="I962" s="5">
        <v>1.2</v>
      </c>
      <c r="J962" s="5">
        <v>1.5</v>
      </c>
      <c r="M962" s="5">
        <v>1</v>
      </c>
      <c r="N962" s="5">
        <v>1</v>
      </c>
      <c r="P962" s="5" t="s">
        <v>405</v>
      </c>
    </row>
    <row r="963" spans="1:16" s="5" customFormat="1" x14ac:dyDescent="0.25">
      <c r="A963" s="6">
        <v>45240</v>
      </c>
      <c r="B963" s="5">
        <v>120</v>
      </c>
      <c r="C963" s="5">
        <v>5</v>
      </c>
      <c r="D963" s="5">
        <f t="shared" si="28"/>
        <v>8.3333333333333332E-3</v>
      </c>
      <c r="E963" s="5">
        <f t="shared" si="29"/>
        <v>6.6666666666666666E-2</v>
      </c>
      <c r="F963" s="5">
        <v>12.5</v>
      </c>
      <c r="G963" s="5">
        <v>0</v>
      </c>
      <c r="H963" s="5">
        <v>-2</v>
      </c>
      <c r="I963" s="5">
        <v>1.2</v>
      </c>
      <c r="J963" s="5">
        <v>1.5</v>
      </c>
      <c r="M963" s="5">
        <v>1</v>
      </c>
      <c r="N963" s="5">
        <v>1</v>
      </c>
      <c r="P963" s="5" t="s">
        <v>379</v>
      </c>
    </row>
    <row r="964" spans="1:16" s="5" customFormat="1" x14ac:dyDescent="0.25">
      <c r="A964" s="6">
        <v>45240</v>
      </c>
      <c r="B964" s="5">
        <v>120</v>
      </c>
      <c r="C964" s="5">
        <v>6</v>
      </c>
      <c r="D964" s="5">
        <f t="shared" si="28"/>
        <v>8.3333333333333332E-3</v>
      </c>
      <c r="E964" s="5">
        <f t="shared" si="29"/>
        <v>6.6666666666666666E-2</v>
      </c>
      <c r="F964" s="5">
        <v>12.5</v>
      </c>
      <c r="G964" s="5">
        <v>0</v>
      </c>
      <c r="H964" s="5">
        <v>-2</v>
      </c>
      <c r="I964" s="5">
        <v>1.3</v>
      </c>
      <c r="J964" s="5">
        <v>0.5</v>
      </c>
      <c r="M964" s="5">
        <v>1</v>
      </c>
      <c r="N964" s="5">
        <v>1</v>
      </c>
      <c r="P964" s="5" t="s">
        <v>406</v>
      </c>
    </row>
    <row r="965" spans="1:16" s="5" customFormat="1" x14ac:dyDescent="0.25">
      <c r="A965" s="6">
        <v>45240</v>
      </c>
      <c r="B965" s="5">
        <v>120</v>
      </c>
      <c r="C965" s="5">
        <v>8</v>
      </c>
      <c r="D965" s="5">
        <f t="shared" si="28"/>
        <v>8.3333333333333332E-3</v>
      </c>
      <c r="E965" s="5">
        <f t="shared" si="29"/>
        <v>6.6666666666666666E-2</v>
      </c>
      <c r="F965" s="5">
        <v>12.5</v>
      </c>
      <c r="G965" s="5">
        <v>0</v>
      </c>
      <c r="H965" s="5">
        <v>-2</v>
      </c>
      <c r="I965" s="5">
        <v>1.2</v>
      </c>
      <c r="J965" s="5">
        <v>1.5</v>
      </c>
      <c r="M965" s="5">
        <v>1</v>
      </c>
      <c r="N965" s="5">
        <v>1</v>
      </c>
      <c r="P965" s="5" t="s">
        <v>379</v>
      </c>
    </row>
    <row r="966" spans="1:16" s="5" customFormat="1" x14ac:dyDescent="0.25">
      <c r="A966" s="6">
        <v>45240</v>
      </c>
      <c r="B966" s="5">
        <v>120</v>
      </c>
      <c r="C966" s="5">
        <v>12</v>
      </c>
      <c r="D966" s="5">
        <f t="shared" si="28"/>
        <v>8.3333333333333332E-3</v>
      </c>
      <c r="E966" s="5">
        <f t="shared" si="29"/>
        <v>6.6666666666666666E-2</v>
      </c>
      <c r="F966" s="5">
        <v>12.5</v>
      </c>
      <c r="G966" s="5">
        <v>0</v>
      </c>
      <c r="H966" s="5">
        <v>-2</v>
      </c>
      <c r="I966" s="5">
        <v>1.2</v>
      </c>
      <c r="J966" s="5">
        <v>0.8</v>
      </c>
      <c r="K966" s="5">
        <v>1</v>
      </c>
      <c r="L966" s="5">
        <v>5</v>
      </c>
      <c r="M966" s="5">
        <v>1</v>
      </c>
      <c r="N966" s="5">
        <v>1</v>
      </c>
      <c r="P966" s="5" t="s">
        <v>436</v>
      </c>
    </row>
    <row r="967" spans="1:16" s="5" customFormat="1" x14ac:dyDescent="0.25">
      <c r="A967" s="6">
        <v>45240</v>
      </c>
      <c r="B967" s="5">
        <v>120</v>
      </c>
      <c r="C967" s="5">
        <v>13</v>
      </c>
      <c r="D967" s="5">
        <f t="shared" si="28"/>
        <v>8.3333333333333332E-3</v>
      </c>
      <c r="E967" s="5">
        <f t="shared" si="29"/>
        <v>6.6666666666666666E-2</v>
      </c>
      <c r="F967" s="5">
        <v>12.5</v>
      </c>
      <c r="G967" s="5">
        <v>0</v>
      </c>
      <c r="H967" s="5">
        <v>-2</v>
      </c>
      <c r="I967" s="5">
        <v>1.2</v>
      </c>
      <c r="J967" s="5">
        <v>1.5</v>
      </c>
      <c r="M967" s="5">
        <v>1</v>
      </c>
      <c r="N967" s="5">
        <v>1</v>
      </c>
      <c r="P967" s="5" t="s">
        <v>379</v>
      </c>
    </row>
    <row r="968" spans="1:16" s="5" customFormat="1" x14ac:dyDescent="0.25">
      <c r="A968" s="6">
        <v>45240</v>
      </c>
      <c r="B968" s="5">
        <v>120</v>
      </c>
      <c r="C968" s="5">
        <v>14</v>
      </c>
      <c r="D968" s="5">
        <f t="shared" si="28"/>
        <v>8.3333333333333332E-3</v>
      </c>
      <c r="E968" s="5">
        <f t="shared" si="29"/>
        <v>6.6666666666666666E-2</v>
      </c>
      <c r="F968" s="5">
        <v>12.5</v>
      </c>
      <c r="G968" s="5">
        <v>0</v>
      </c>
      <c r="H968" s="5">
        <v>-2</v>
      </c>
      <c r="I968" s="5">
        <v>1.2</v>
      </c>
      <c r="J968" s="5">
        <v>1.5</v>
      </c>
      <c r="M968" s="5">
        <v>1</v>
      </c>
      <c r="N968" s="5">
        <v>1</v>
      </c>
      <c r="P968" s="5" t="s">
        <v>379</v>
      </c>
    </row>
    <row r="969" spans="1:16" s="5" customFormat="1" x14ac:dyDescent="0.25">
      <c r="A969" s="6">
        <v>45240</v>
      </c>
      <c r="B969" s="5">
        <v>120</v>
      </c>
      <c r="C969" s="5">
        <v>15</v>
      </c>
      <c r="D969" s="5">
        <f t="shared" si="28"/>
        <v>8.3333333333333332E-3</v>
      </c>
      <c r="E969" s="5">
        <f t="shared" si="29"/>
        <v>6.6666666666666666E-2</v>
      </c>
      <c r="F969" s="5">
        <v>12.5</v>
      </c>
      <c r="G969" s="5">
        <v>0</v>
      </c>
      <c r="H969" s="5">
        <v>-2</v>
      </c>
      <c r="I969" s="5">
        <v>1.2</v>
      </c>
      <c r="J969" s="5">
        <v>1.5</v>
      </c>
      <c r="M969" s="5">
        <v>1</v>
      </c>
      <c r="N969" s="5">
        <v>1</v>
      </c>
      <c r="P969" s="5" t="s">
        <v>379</v>
      </c>
    </row>
    <row r="970" spans="1:16" s="5" customFormat="1" x14ac:dyDescent="0.25">
      <c r="A970" s="6">
        <v>45240</v>
      </c>
      <c r="B970" s="5">
        <v>120</v>
      </c>
      <c r="C970" s="5">
        <v>16</v>
      </c>
      <c r="D970" s="5">
        <f t="shared" si="28"/>
        <v>8.3333333333333332E-3</v>
      </c>
      <c r="E970" s="5">
        <f t="shared" si="29"/>
        <v>6.6666666666666666E-2</v>
      </c>
      <c r="F970" s="5">
        <v>12.5</v>
      </c>
      <c r="G970" s="5">
        <v>0</v>
      </c>
      <c r="H970" s="5">
        <v>-2</v>
      </c>
      <c r="I970" s="5">
        <v>1.2</v>
      </c>
      <c r="J970" s="5">
        <v>1.5</v>
      </c>
      <c r="M970" s="5">
        <v>1</v>
      </c>
      <c r="N970" s="5">
        <v>1</v>
      </c>
      <c r="P970" s="5" t="s">
        <v>379</v>
      </c>
    </row>
    <row r="971" spans="1:16" s="5" customFormat="1" x14ac:dyDescent="0.25">
      <c r="A971" s="6">
        <v>45240</v>
      </c>
      <c r="B971" s="5">
        <v>120</v>
      </c>
      <c r="C971" s="5">
        <v>17</v>
      </c>
      <c r="D971" s="5">
        <f t="shared" si="28"/>
        <v>8.3333333333333332E-3</v>
      </c>
      <c r="E971" s="5">
        <f t="shared" si="29"/>
        <v>6.6666666666666666E-2</v>
      </c>
      <c r="F971" s="5">
        <v>12.5</v>
      </c>
      <c r="G971" s="5">
        <v>0</v>
      </c>
      <c r="H971" s="5">
        <v>-2</v>
      </c>
      <c r="I971" s="5">
        <v>1.2</v>
      </c>
      <c r="J971" s="5">
        <v>1.5</v>
      </c>
      <c r="M971" s="5">
        <v>1</v>
      </c>
      <c r="N971" s="5">
        <v>1</v>
      </c>
      <c r="P971" s="5" t="s">
        <v>379</v>
      </c>
    </row>
    <row r="972" spans="1:16" s="5" customFormat="1" x14ac:dyDescent="0.25">
      <c r="A972" s="6">
        <v>45240</v>
      </c>
      <c r="B972" s="5">
        <v>120</v>
      </c>
      <c r="C972" s="5">
        <v>18</v>
      </c>
      <c r="D972" s="5">
        <f t="shared" si="28"/>
        <v>8.3333333333333332E-3</v>
      </c>
      <c r="E972" s="5">
        <f t="shared" si="29"/>
        <v>6.6666666666666666E-2</v>
      </c>
      <c r="F972" s="5">
        <v>12.5</v>
      </c>
      <c r="G972" s="5">
        <v>0</v>
      </c>
      <c r="H972" s="5">
        <v>-2</v>
      </c>
      <c r="I972" s="5">
        <v>1.2</v>
      </c>
      <c r="J972" s="5">
        <v>1.5</v>
      </c>
      <c r="M972" s="5">
        <v>1</v>
      </c>
      <c r="N972" s="5">
        <v>1</v>
      </c>
      <c r="P972" s="5" t="s">
        <v>379</v>
      </c>
    </row>
    <row r="973" spans="1:16" s="5" customFormat="1" x14ac:dyDescent="0.25">
      <c r="A973" s="6">
        <v>45245</v>
      </c>
      <c r="B973" s="5">
        <v>121</v>
      </c>
      <c r="C973" s="5">
        <v>4</v>
      </c>
      <c r="D973" s="5">
        <f t="shared" si="28"/>
        <v>8.3333333333333332E-3</v>
      </c>
      <c r="E973" s="5">
        <f t="shared" si="29"/>
        <v>6.6666666666666666E-2</v>
      </c>
      <c r="F973" s="5">
        <v>12.5</v>
      </c>
      <c r="G973" s="5">
        <v>0</v>
      </c>
      <c r="H973" s="5">
        <v>-2</v>
      </c>
      <c r="I973" s="5">
        <v>1.2</v>
      </c>
      <c r="J973" s="5">
        <v>0.5</v>
      </c>
      <c r="M973" s="5">
        <v>2</v>
      </c>
      <c r="N973" s="5">
        <v>1</v>
      </c>
      <c r="P973" s="5" t="s">
        <v>399</v>
      </c>
    </row>
    <row r="974" spans="1:16" s="5" customFormat="1" x14ac:dyDescent="0.25">
      <c r="A974" s="6">
        <v>45245</v>
      </c>
      <c r="B974" s="5">
        <v>121</v>
      </c>
      <c r="C974" s="5">
        <v>6</v>
      </c>
      <c r="D974" s="5">
        <f t="shared" si="28"/>
        <v>8.3333333333333332E-3</v>
      </c>
      <c r="E974" s="5">
        <f t="shared" si="29"/>
        <v>6.6666666666666666E-2</v>
      </c>
      <c r="F974" s="5">
        <v>12.5</v>
      </c>
      <c r="G974" s="5">
        <v>0</v>
      </c>
      <c r="H974" s="5">
        <v>-2</v>
      </c>
      <c r="I974" s="5">
        <v>1.2</v>
      </c>
      <c r="J974" s="5">
        <v>0.5</v>
      </c>
      <c r="M974" s="5">
        <v>2</v>
      </c>
      <c r="N974" s="5">
        <v>1</v>
      </c>
      <c r="P974" s="5" t="s">
        <v>400</v>
      </c>
    </row>
    <row r="975" spans="1:16" s="5" customFormat="1" x14ac:dyDescent="0.25">
      <c r="A975" s="6">
        <v>45245</v>
      </c>
      <c r="B975" s="5">
        <v>121</v>
      </c>
      <c r="C975" s="5">
        <v>7</v>
      </c>
      <c r="D975" s="5">
        <f t="shared" si="28"/>
        <v>8.3333333333333332E-3</v>
      </c>
      <c r="E975" s="5">
        <f t="shared" si="29"/>
        <v>6.6666666666666666E-2</v>
      </c>
      <c r="F975" s="5">
        <v>12.5</v>
      </c>
      <c r="G975" s="5">
        <v>0</v>
      </c>
      <c r="H975" s="5">
        <v>-2</v>
      </c>
      <c r="I975" s="5">
        <v>1.2</v>
      </c>
      <c r="J975" s="5">
        <v>0.5</v>
      </c>
      <c r="M975" s="5">
        <v>2</v>
      </c>
      <c r="N975" s="5">
        <v>1</v>
      </c>
      <c r="P975" s="5" t="s">
        <v>401</v>
      </c>
    </row>
    <row r="976" spans="1:16" s="5" customFormat="1" x14ac:dyDescent="0.25">
      <c r="A976" s="6">
        <v>45245</v>
      </c>
      <c r="B976" s="5">
        <v>121</v>
      </c>
      <c r="C976" s="5">
        <v>8</v>
      </c>
      <c r="D976" s="5">
        <f t="shared" si="28"/>
        <v>8.3333333333333332E-3</v>
      </c>
      <c r="E976" s="5">
        <f t="shared" si="29"/>
        <v>6.6666666666666666E-2</v>
      </c>
      <c r="F976" s="5">
        <v>12.5</v>
      </c>
      <c r="G976" s="5">
        <v>0</v>
      </c>
      <c r="H976" s="5">
        <v>-2</v>
      </c>
      <c r="I976" s="5">
        <v>1.2</v>
      </c>
      <c r="J976" s="5">
        <v>0.5</v>
      </c>
      <c r="M976" s="5">
        <v>2</v>
      </c>
      <c r="N976" s="5">
        <v>1</v>
      </c>
      <c r="P976" s="5" t="s">
        <v>398</v>
      </c>
    </row>
    <row r="977" spans="1:16" s="5" customFormat="1" x14ac:dyDescent="0.25">
      <c r="A977" s="6">
        <v>45245</v>
      </c>
      <c r="B977" s="5">
        <v>121</v>
      </c>
      <c r="C977" s="5">
        <v>10</v>
      </c>
      <c r="D977" s="5">
        <f t="shared" si="28"/>
        <v>8.3333333333333332E-3</v>
      </c>
      <c r="E977" s="5">
        <f t="shared" si="29"/>
        <v>6.6666666666666666E-2</v>
      </c>
      <c r="F977" s="5">
        <v>12.5</v>
      </c>
      <c r="G977" s="5">
        <v>0</v>
      </c>
      <c r="H977" s="5">
        <v>-2</v>
      </c>
      <c r="I977" s="5">
        <v>1.2</v>
      </c>
      <c r="J977" s="5">
        <v>0.5</v>
      </c>
      <c r="M977" s="5">
        <v>2</v>
      </c>
      <c r="N977" s="5">
        <v>1</v>
      </c>
      <c r="P977" s="5" t="s">
        <v>379</v>
      </c>
    </row>
    <row r="978" spans="1:16" s="5" customFormat="1" x14ac:dyDescent="0.25">
      <c r="A978" s="6">
        <v>45245</v>
      </c>
      <c r="B978" s="5">
        <v>122</v>
      </c>
      <c r="C978" s="5">
        <v>13</v>
      </c>
      <c r="D978" s="5">
        <f t="shared" si="28"/>
        <v>8.3333333333333332E-3</v>
      </c>
      <c r="E978" s="5">
        <f t="shared" si="29"/>
        <v>6.6666666666666666E-2</v>
      </c>
      <c r="F978" s="5">
        <v>12.5</v>
      </c>
      <c r="G978" s="5">
        <v>0</v>
      </c>
      <c r="H978" s="5">
        <v>-2</v>
      </c>
      <c r="I978" s="5">
        <v>1.2</v>
      </c>
      <c r="J978" s="5">
        <v>0.5</v>
      </c>
      <c r="M978" s="5">
        <v>2</v>
      </c>
      <c r="N978" s="5">
        <v>1</v>
      </c>
      <c r="P978" s="5" t="s">
        <v>399</v>
      </c>
    </row>
    <row r="979" spans="1:16" s="5" customFormat="1" x14ac:dyDescent="0.25">
      <c r="A979" s="6">
        <v>45245</v>
      </c>
      <c r="B979" s="5">
        <v>122</v>
      </c>
      <c r="C979" s="5">
        <v>15</v>
      </c>
      <c r="D979" s="5">
        <f t="shared" si="28"/>
        <v>8.3333333333333332E-3</v>
      </c>
      <c r="E979" s="5">
        <f t="shared" si="29"/>
        <v>6.6666666666666666E-2</v>
      </c>
      <c r="F979" s="5">
        <v>12.5</v>
      </c>
      <c r="G979" s="5">
        <v>0</v>
      </c>
      <c r="H979" s="5">
        <v>-2</v>
      </c>
      <c r="I979" s="5">
        <v>1.2</v>
      </c>
      <c r="J979" s="5">
        <v>0.5</v>
      </c>
      <c r="M979" s="5">
        <v>2</v>
      </c>
      <c r="N979" s="5">
        <v>1</v>
      </c>
      <c r="P979" s="5" t="s">
        <v>400</v>
      </c>
    </row>
    <row r="980" spans="1:16" s="5" customFormat="1" x14ac:dyDescent="0.25">
      <c r="A980" s="6">
        <v>45245</v>
      </c>
      <c r="B980" s="5">
        <v>122</v>
      </c>
      <c r="C980" s="5">
        <v>16</v>
      </c>
      <c r="D980" s="5">
        <f t="shared" si="28"/>
        <v>8.3333333333333332E-3</v>
      </c>
      <c r="E980" s="5">
        <f t="shared" si="29"/>
        <v>6.6666666666666666E-2</v>
      </c>
      <c r="F980" s="5">
        <v>12.5</v>
      </c>
      <c r="G980" s="5">
        <v>0</v>
      </c>
      <c r="H980" s="5">
        <v>-2</v>
      </c>
      <c r="I980" s="5">
        <v>1.2</v>
      </c>
      <c r="J980" s="5">
        <v>0.5</v>
      </c>
      <c r="M980" s="5">
        <v>2</v>
      </c>
      <c r="N980" s="5">
        <v>1</v>
      </c>
      <c r="P980" s="5" t="s">
        <v>401</v>
      </c>
    </row>
    <row r="981" spans="1:16" s="5" customFormat="1" x14ac:dyDescent="0.25">
      <c r="A981" s="6">
        <v>45245</v>
      </c>
      <c r="B981" s="5">
        <v>122</v>
      </c>
      <c r="C981" s="5">
        <v>17</v>
      </c>
      <c r="D981" s="5">
        <f t="shared" si="28"/>
        <v>8.3333333333333332E-3</v>
      </c>
      <c r="E981" s="5">
        <f t="shared" si="29"/>
        <v>6.6666666666666666E-2</v>
      </c>
      <c r="F981" s="5">
        <v>12.5</v>
      </c>
      <c r="G981" s="5">
        <v>0</v>
      </c>
      <c r="H981" s="5">
        <v>-2</v>
      </c>
      <c r="I981" s="5">
        <v>1.2</v>
      </c>
      <c r="J981" s="5">
        <v>0.5</v>
      </c>
      <c r="M981" s="5">
        <v>2</v>
      </c>
      <c r="N981" s="5">
        <v>1</v>
      </c>
      <c r="P981" s="5" t="s">
        <v>398</v>
      </c>
    </row>
    <row r="982" spans="1:16" s="5" customFormat="1" x14ac:dyDescent="0.25">
      <c r="A982" s="6">
        <v>45245</v>
      </c>
      <c r="B982" s="5">
        <v>122</v>
      </c>
      <c r="C982" s="5">
        <v>18</v>
      </c>
      <c r="D982" s="5">
        <f t="shared" si="28"/>
        <v>8.3333333333333332E-3</v>
      </c>
      <c r="E982" s="5">
        <f t="shared" si="29"/>
        <v>6.6666666666666666E-2</v>
      </c>
      <c r="F982" s="5">
        <v>12.5</v>
      </c>
      <c r="G982" s="5">
        <v>0</v>
      </c>
      <c r="H982" s="5">
        <v>-2</v>
      </c>
      <c r="I982" s="5">
        <v>1.2</v>
      </c>
      <c r="J982" s="5">
        <v>0.5</v>
      </c>
      <c r="M982" s="5">
        <v>2</v>
      </c>
      <c r="N982" s="5">
        <v>1</v>
      </c>
      <c r="P982" s="5" t="s">
        <v>402</v>
      </c>
    </row>
    <row r="983" spans="1:16" s="5" customFormat="1" x14ac:dyDescent="0.25">
      <c r="A983" s="6">
        <v>45246</v>
      </c>
      <c r="B983" s="5">
        <v>123</v>
      </c>
      <c r="C983" s="5">
        <v>3</v>
      </c>
      <c r="D983" s="5">
        <f t="shared" si="28"/>
        <v>8.3333333333333332E-3</v>
      </c>
      <c r="E983" s="5">
        <f t="shared" si="29"/>
        <v>6.6666666666666666E-2</v>
      </c>
      <c r="F983" s="5">
        <v>12.5</v>
      </c>
      <c r="G983" s="5">
        <v>0</v>
      </c>
      <c r="H983" s="5">
        <v>-2</v>
      </c>
      <c r="I983" s="5">
        <v>1.2</v>
      </c>
      <c r="J983" s="5">
        <v>0.5</v>
      </c>
      <c r="M983" s="5">
        <v>2</v>
      </c>
      <c r="N983" s="5">
        <v>1</v>
      </c>
      <c r="P983" s="5" t="s">
        <v>399</v>
      </c>
    </row>
    <row r="984" spans="1:16" s="5" customFormat="1" x14ac:dyDescent="0.25">
      <c r="A984" s="6">
        <v>45246</v>
      </c>
      <c r="B984" s="5">
        <v>123</v>
      </c>
      <c r="C984" s="5">
        <v>5</v>
      </c>
      <c r="D984" s="5">
        <f t="shared" si="28"/>
        <v>8.3333333333333332E-3</v>
      </c>
      <c r="E984" s="5">
        <f t="shared" si="29"/>
        <v>6.6666666666666666E-2</v>
      </c>
      <c r="F984" s="5">
        <v>12.5</v>
      </c>
      <c r="G984" s="5">
        <v>0</v>
      </c>
      <c r="H984" s="5">
        <v>-2</v>
      </c>
      <c r="I984" s="5">
        <v>1.2</v>
      </c>
      <c r="J984" s="5">
        <v>0.5</v>
      </c>
      <c r="M984" s="5">
        <v>2</v>
      </c>
      <c r="N984" s="5">
        <v>1</v>
      </c>
      <c r="P984" s="5" t="s">
        <v>400</v>
      </c>
    </row>
    <row r="985" spans="1:16" s="5" customFormat="1" x14ac:dyDescent="0.25">
      <c r="A985" s="6">
        <v>45246</v>
      </c>
      <c r="B985" s="5">
        <v>123</v>
      </c>
      <c r="C985" s="5">
        <v>6</v>
      </c>
      <c r="D985" s="5">
        <f t="shared" si="28"/>
        <v>8.3333333333333332E-3</v>
      </c>
      <c r="E985" s="5">
        <f t="shared" si="29"/>
        <v>6.6666666666666666E-2</v>
      </c>
      <c r="F985" s="5">
        <v>12.5</v>
      </c>
      <c r="G985" s="5">
        <v>0</v>
      </c>
      <c r="H985" s="5">
        <v>-2</v>
      </c>
      <c r="I985" s="5">
        <v>1.2</v>
      </c>
      <c r="J985" s="5">
        <v>0.5</v>
      </c>
      <c r="M985" s="5">
        <v>2</v>
      </c>
      <c r="N985" s="5">
        <v>1</v>
      </c>
      <c r="P985" s="5" t="s">
        <v>401</v>
      </c>
    </row>
    <row r="986" spans="1:16" s="5" customFormat="1" x14ac:dyDescent="0.25">
      <c r="A986" s="6">
        <v>45246</v>
      </c>
      <c r="B986" s="5">
        <v>123</v>
      </c>
      <c r="C986" s="5">
        <v>7</v>
      </c>
      <c r="D986" s="5">
        <f t="shared" si="28"/>
        <v>8.3333333333333332E-3</v>
      </c>
      <c r="E986" s="5">
        <f t="shared" si="29"/>
        <v>6.6666666666666666E-2</v>
      </c>
      <c r="F986" s="5">
        <v>12.5</v>
      </c>
      <c r="G986" s="5">
        <v>0</v>
      </c>
      <c r="H986" s="5">
        <v>-2</v>
      </c>
      <c r="I986" s="5">
        <v>1.2</v>
      </c>
      <c r="J986" s="5">
        <v>0.5</v>
      </c>
      <c r="M986" s="5">
        <v>2</v>
      </c>
      <c r="N986" s="5">
        <v>1</v>
      </c>
      <c r="P986" s="5" t="s">
        <v>398</v>
      </c>
    </row>
    <row r="987" spans="1:16" s="5" customFormat="1" x14ac:dyDescent="0.25">
      <c r="A987" s="6">
        <v>45250</v>
      </c>
      <c r="B987" s="5">
        <v>124</v>
      </c>
      <c r="C987" s="5">
        <v>1</v>
      </c>
      <c r="D987" s="5">
        <f t="shared" si="28"/>
        <v>8.3333333333333332E-3</v>
      </c>
      <c r="E987" s="5">
        <f t="shared" si="29"/>
        <v>6.6666666666666666E-2</v>
      </c>
      <c r="F987" s="5">
        <v>12.5</v>
      </c>
      <c r="G987" s="5">
        <v>0</v>
      </c>
      <c r="H987" s="5">
        <v>1</v>
      </c>
      <c r="I987" s="5">
        <v>1.2</v>
      </c>
      <c r="J987" s="5">
        <v>1.5</v>
      </c>
      <c r="M987" s="5">
        <v>1</v>
      </c>
      <c r="N987" s="5">
        <v>1</v>
      </c>
      <c r="P987" s="5" t="s">
        <v>441</v>
      </c>
    </row>
    <row r="988" spans="1:16" s="5" customFormat="1" x14ac:dyDescent="0.25">
      <c r="A988" s="6">
        <v>45250</v>
      </c>
      <c r="B988" s="5">
        <v>124</v>
      </c>
      <c r="C988" s="5">
        <v>2</v>
      </c>
      <c r="D988" s="5">
        <f t="shared" si="28"/>
        <v>8.3333333333333332E-3</v>
      </c>
      <c r="E988" s="5">
        <f t="shared" si="29"/>
        <v>6.6666666666666666E-2</v>
      </c>
      <c r="F988" s="5">
        <v>12.5</v>
      </c>
      <c r="G988" s="5">
        <v>0</v>
      </c>
      <c r="H988" s="5">
        <v>-2</v>
      </c>
      <c r="I988" s="5">
        <v>1.2</v>
      </c>
      <c r="J988" s="5">
        <v>1.5</v>
      </c>
      <c r="M988" s="5">
        <v>1</v>
      </c>
      <c r="N988" s="5">
        <v>1</v>
      </c>
      <c r="P988" s="5" t="s">
        <v>407</v>
      </c>
    </row>
    <row r="989" spans="1:16" s="5" customFormat="1" x14ac:dyDescent="0.25">
      <c r="A989" s="6">
        <v>45250</v>
      </c>
      <c r="B989" s="5">
        <v>124</v>
      </c>
      <c r="C989" s="5">
        <v>3</v>
      </c>
      <c r="D989" s="5">
        <f t="shared" si="28"/>
        <v>8.3333333333333332E-3</v>
      </c>
      <c r="E989" s="5">
        <f t="shared" si="29"/>
        <v>6.6666666666666666E-2</v>
      </c>
      <c r="F989" s="5">
        <v>12.5</v>
      </c>
      <c r="G989" s="5">
        <v>0</v>
      </c>
      <c r="H989" s="5">
        <v>-2</v>
      </c>
      <c r="I989" s="5">
        <v>1.2</v>
      </c>
      <c r="J989" s="5">
        <v>1.5</v>
      </c>
      <c r="M989" s="5">
        <v>1</v>
      </c>
      <c r="N989" s="5">
        <v>1</v>
      </c>
      <c r="P989" s="5" t="s">
        <v>403</v>
      </c>
    </row>
    <row r="990" spans="1:16" s="5" customFormat="1" x14ac:dyDescent="0.25">
      <c r="A990" s="6">
        <v>45250</v>
      </c>
      <c r="B990" s="5">
        <v>124</v>
      </c>
      <c r="C990" s="5">
        <v>4</v>
      </c>
      <c r="D990" s="5">
        <f t="shared" si="28"/>
        <v>8.3333333333333332E-3</v>
      </c>
      <c r="E990" s="5">
        <f t="shared" si="29"/>
        <v>6.6666666666666666E-2</v>
      </c>
      <c r="F990" s="5">
        <v>12.5</v>
      </c>
      <c r="G990" s="5">
        <v>0</v>
      </c>
      <c r="H990" s="5">
        <v>-2</v>
      </c>
      <c r="I990" s="5">
        <v>1.2</v>
      </c>
      <c r="J990" s="5">
        <v>1.5</v>
      </c>
      <c r="M990" s="5">
        <v>1</v>
      </c>
      <c r="N990" s="5">
        <v>1</v>
      </c>
      <c r="P990" s="5" t="s">
        <v>404</v>
      </c>
    </row>
    <row r="991" spans="1:16" s="5" customFormat="1" x14ac:dyDescent="0.25">
      <c r="A991" s="6">
        <v>45250</v>
      </c>
      <c r="B991" s="5">
        <v>124</v>
      </c>
      <c r="C991" s="5">
        <v>5</v>
      </c>
      <c r="D991" s="5">
        <f t="shared" si="28"/>
        <v>8.3333333333333332E-3</v>
      </c>
      <c r="E991" s="5">
        <f t="shared" si="29"/>
        <v>6.6666666666666666E-2</v>
      </c>
      <c r="F991" s="5">
        <v>12.5</v>
      </c>
      <c r="G991" s="5">
        <v>0</v>
      </c>
      <c r="H991" s="5">
        <v>-2</v>
      </c>
      <c r="I991" s="5">
        <v>1.2</v>
      </c>
      <c r="J991" s="5">
        <v>1.5</v>
      </c>
      <c r="M991" s="5">
        <v>1</v>
      </c>
      <c r="N991" s="5">
        <v>1</v>
      </c>
      <c r="P991" s="5" t="s">
        <v>405</v>
      </c>
    </row>
    <row r="992" spans="1:16" s="5" customFormat="1" x14ac:dyDescent="0.25">
      <c r="A992" s="6">
        <v>45250</v>
      </c>
      <c r="B992" s="5">
        <v>124</v>
      </c>
      <c r="C992" s="5">
        <v>6</v>
      </c>
      <c r="D992" s="5">
        <f t="shared" si="28"/>
        <v>8.3333333333333332E-3</v>
      </c>
      <c r="E992" s="5">
        <f t="shared" si="29"/>
        <v>6.6666666666666666E-2</v>
      </c>
      <c r="F992" s="5">
        <v>12.5</v>
      </c>
      <c r="G992" s="5">
        <v>0</v>
      </c>
      <c r="H992" s="5">
        <v>-2</v>
      </c>
      <c r="I992" s="5">
        <v>1.2</v>
      </c>
      <c r="J992" s="5">
        <v>1.5</v>
      </c>
      <c r="M992" s="5">
        <v>1</v>
      </c>
      <c r="N992" s="5">
        <v>1</v>
      </c>
      <c r="P992" s="5" t="s">
        <v>407</v>
      </c>
    </row>
    <row r="993" spans="1:16" s="5" customFormat="1" x14ac:dyDescent="0.25">
      <c r="A993" s="6">
        <v>45250</v>
      </c>
      <c r="B993" s="5">
        <v>124</v>
      </c>
      <c r="C993" s="5">
        <v>7</v>
      </c>
      <c r="D993" s="5">
        <f t="shared" si="28"/>
        <v>8.3333333333333332E-3</v>
      </c>
      <c r="E993" s="5">
        <f t="shared" si="29"/>
        <v>6.6666666666666666E-2</v>
      </c>
      <c r="F993" s="5">
        <v>12.5</v>
      </c>
      <c r="G993" s="5">
        <v>0</v>
      </c>
      <c r="H993" s="5">
        <v>-2</v>
      </c>
      <c r="I993" s="5">
        <v>1</v>
      </c>
      <c r="J993" s="5">
        <v>1.5</v>
      </c>
      <c r="M993" s="5">
        <v>1</v>
      </c>
      <c r="N993" s="5">
        <v>1</v>
      </c>
      <c r="P993" s="5" t="s">
        <v>406</v>
      </c>
    </row>
    <row r="994" spans="1:16" s="5" customFormat="1" x14ac:dyDescent="0.25">
      <c r="A994" s="6">
        <v>45250</v>
      </c>
      <c r="B994" s="5">
        <v>124</v>
      </c>
      <c r="C994" s="5">
        <v>8</v>
      </c>
      <c r="D994" s="5">
        <f t="shared" si="28"/>
        <v>8.3333333333333332E-3</v>
      </c>
      <c r="E994" s="5">
        <f t="shared" si="29"/>
        <v>6.6666666666666666E-2</v>
      </c>
      <c r="F994" s="5">
        <v>12.5</v>
      </c>
      <c r="G994" s="5">
        <v>0</v>
      </c>
      <c r="H994" s="5">
        <v>1</v>
      </c>
      <c r="I994" s="5">
        <v>1</v>
      </c>
      <c r="J994" s="5">
        <v>1.2</v>
      </c>
      <c r="K994" s="5">
        <v>1</v>
      </c>
      <c r="L994" s="5">
        <v>5</v>
      </c>
      <c r="M994" s="5">
        <v>1</v>
      </c>
      <c r="N994" s="5">
        <v>1</v>
      </c>
      <c r="P994" s="5" t="s">
        <v>437</v>
      </c>
    </row>
    <row r="995" spans="1:16" s="5" customFormat="1" x14ac:dyDescent="0.25">
      <c r="A995" s="6">
        <v>45250</v>
      </c>
      <c r="B995" s="5">
        <v>125</v>
      </c>
      <c r="C995" s="5">
        <v>9</v>
      </c>
      <c r="D995" s="5">
        <f t="shared" si="28"/>
        <v>8.3333333333333332E-3</v>
      </c>
      <c r="E995" s="5">
        <f t="shared" si="29"/>
        <v>6.6666666666666666E-2</v>
      </c>
      <c r="F995" s="5">
        <v>12.5</v>
      </c>
      <c r="G995" s="5">
        <v>0</v>
      </c>
      <c r="H995" s="5">
        <v>-2</v>
      </c>
      <c r="I995" s="5">
        <v>1.2</v>
      </c>
      <c r="J995" s="5">
        <v>1.5</v>
      </c>
      <c r="M995" s="5">
        <v>1</v>
      </c>
      <c r="N995" s="5">
        <v>1</v>
      </c>
      <c r="P995" s="5" t="s">
        <v>441</v>
      </c>
    </row>
    <row r="996" spans="1:16" s="5" customFormat="1" x14ac:dyDescent="0.25">
      <c r="A996" s="6">
        <v>45250</v>
      </c>
      <c r="B996" s="5">
        <v>125</v>
      </c>
      <c r="C996" s="5">
        <v>10</v>
      </c>
      <c r="D996" s="5">
        <f t="shared" si="28"/>
        <v>8.3333333333333332E-3</v>
      </c>
      <c r="E996" s="5">
        <f t="shared" si="29"/>
        <v>6.6666666666666666E-2</v>
      </c>
      <c r="F996" s="5">
        <v>12.5</v>
      </c>
      <c r="G996" s="5">
        <v>0</v>
      </c>
      <c r="H996" s="5">
        <v>-2</v>
      </c>
      <c r="I996" s="5">
        <v>1.2</v>
      </c>
      <c r="J996" s="5">
        <v>1.5</v>
      </c>
      <c r="M996" s="5">
        <v>1</v>
      </c>
      <c r="N996" s="5">
        <v>1</v>
      </c>
      <c r="P996" s="5" t="s">
        <v>407</v>
      </c>
    </row>
    <row r="997" spans="1:16" s="5" customFormat="1" x14ac:dyDescent="0.25">
      <c r="A997" s="6">
        <v>45250</v>
      </c>
      <c r="B997" s="5">
        <v>125</v>
      </c>
      <c r="C997" s="5">
        <v>11</v>
      </c>
      <c r="D997" s="5">
        <f t="shared" si="28"/>
        <v>8.3333333333333332E-3</v>
      </c>
      <c r="E997" s="5">
        <f t="shared" si="29"/>
        <v>6.6666666666666666E-2</v>
      </c>
      <c r="F997" s="5">
        <v>12.5</v>
      </c>
      <c r="G997" s="5">
        <v>0</v>
      </c>
      <c r="H997" s="5">
        <v>-2</v>
      </c>
      <c r="I997" s="5">
        <v>1.2</v>
      </c>
      <c r="J997" s="5">
        <v>1.5</v>
      </c>
      <c r="M997" s="5">
        <v>1</v>
      </c>
      <c r="N997" s="5">
        <v>1</v>
      </c>
      <c r="P997" s="5" t="s">
        <v>403</v>
      </c>
    </row>
    <row r="998" spans="1:16" s="5" customFormat="1" x14ac:dyDescent="0.25">
      <c r="A998" s="6">
        <v>45250</v>
      </c>
      <c r="B998" s="5">
        <v>125</v>
      </c>
      <c r="C998" s="5">
        <v>12</v>
      </c>
      <c r="D998" s="5">
        <f t="shared" si="28"/>
        <v>8.3333333333333332E-3</v>
      </c>
      <c r="E998" s="5">
        <f t="shared" si="29"/>
        <v>6.6666666666666666E-2</v>
      </c>
      <c r="F998" s="5">
        <v>12.5</v>
      </c>
      <c r="G998" s="5">
        <v>0</v>
      </c>
      <c r="H998" s="5">
        <v>-2</v>
      </c>
      <c r="I998" s="5">
        <v>1.2</v>
      </c>
      <c r="J998" s="5">
        <v>1.5</v>
      </c>
      <c r="M998" s="5">
        <v>1</v>
      </c>
      <c r="N998" s="5">
        <v>1</v>
      </c>
      <c r="P998" s="5" t="s">
        <v>404</v>
      </c>
    </row>
    <row r="999" spans="1:16" s="5" customFormat="1" x14ac:dyDescent="0.25">
      <c r="A999" s="6">
        <v>45250</v>
      </c>
      <c r="B999" s="5">
        <v>125</v>
      </c>
      <c r="C999" s="5">
        <v>13</v>
      </c>
      <c r="D999" s="5">
        <f t="shared" si="28"/>
        <v>8.3333333333333332E-3</v>
      </c>
      <c r="E999" s="5">
        <f t="shared" si="29"/>
        <v>6.6666666666666666E-2</v>
      </c>
      <c r="F999" s="5">
        <v>12.5</v>
      </c>
      <c r="G999" s="5">
        <v>0</v>
      </c>
      <c r="H999" s="5">
        <v>-2</v>
      </c>
      <c r="I999" s="5">
        <v>1.2</v>
      </c>
      <c r="J999" s="5">
        <v>1.5</v>
      </c>
      <c r="M999" s="5">
        <v>1</v>
      </c>
      <c r="N999" s="5">
        <v>1</v>
      </c>
      <c r="P999" s="5" t="s">
        <v>405</v>
      </c>
    </row>
    <row r="1000" spans="1:16" s="5" customFormat="1" x14ac:dyDescent="0.25">
      <c r="A1000" s="6">
        <v>45250</v>
      </c>
      <c r="B1000" s="5">
        <v>125</v>
      </c>
      <c r="C1000" s="5">
        <v>14</v>
      </c>
      <c r="D1000" s="5">
        <f t="shared" si="28"/>
        <v>8.3333333333333332E-3</v>
      </c>
      <c r="E1000" s="5">
        <f t="shared" si="29"/>
        <v>6.6666666666666666E-2</v>
      </c>
      <c r="F1000" s="5">
        <v>12.5</v>
      </c>
      <c r="G1000" s="5">
        <v>0</v>
      </c>
      <c r="H1000" s="5">
        <v>1</v>
      </c>
      <c r="I1000" s="5">
        <v>1</v>
      </c>
      <c r="J1000" s="5">
        <v>1.5</v>
      </c>
      <c r="M1000" s="5">
        <v>1</v>
      </c>
      <c r="N1000" s="5">
        <v>1</v>
      </c>
      <c r="P1000" s="5" t="s">
        <v>406</v>
      </c>
    </row>
    <row r="1001" spans="1:16" s="5" customFormat="1" x14ac:dyDescent="0.25">
      <c r="A1001" s="6">
        <v>45250</v>
      </c>
      <c r="B1001" s="5">
        <v>125</v>
      </c>
      <c r="C1001" s="5">
        <v>15</v>
      </c>
      <c r="D1001" s="5">
        <f t="shared" si="28"/>
        <v>8.3333333333333332E-3</v>
      </c>
      <c r="E1001" s="5">
        <f t="shared" si="29"/>
        <v>6.6666666666666666E-2</v>
      </c>
      <c r="F1001" s="5">
        <v>12.5</v>
      </c>
      <c r="G1001" s="5">
        <v>0</v>
      </c>
      <c r="H1001" s="5">
        <v>1</v>
      </c>
      <c r="I1001" s="5">
        <v>1</v>
      </c>
      <c r="J1001" s="5">
        <v>0.8</v>
      </c>
      <c r="K1001" s="5">
        <v>1</v>
      </c>
      <c r="L1001" s="5">
        <v>5</v>
      </c>
      <c r="M1001" s="5">
        <v>1</v>
      </c>
      <c r="N1001" s="5">
        <v>1</v>
      </c>
      <c r="P1001" s="5" t="s">
        <v>437</v>
      </c>
    </row>
    <row r="1002" spans="1:16" s="5" customFormat="1" x14ac:dyDescent="0.25">
      <c r="A1002" s="6">
        <v>45259</v>
      </c>
      <c r="B1002" s="5">
        <v>126</v>
      </c>
      <c r="C1002" s="5">
        <v>3</v>
      </c>
      <c r="D1002" s="5">
        <f t="shared" si="28"/>
        <v>8.3333333333333332E-3</v>
      </c>
      <c r="E1002" s="5">
        <f t="shared" si="29"/>
        <v>6.6666666666666666E-2</v>
      </c>
      <c r="F1002" s="5">
        <v>12.5</v>
      </c>
      <c r="G1002" s="5">
        <v>0</v>
      </c>
      <c r="H1002" s="5">
        <v>-2</v>
      </c>
      <c r="I1002" s="5">
        <v>1.2</v>
      </c>
      <c r="J1002" s="5">
        <v>0.3</v>
      </c>
      <c r="M1002" s="5">
        <v>2</v>
      </c>
      <c r="N1002" s="5">
        <v>1</v>
      </c>
      <c r="P1002" s="5" t="s">
        <v>399</v>
      </c>
    </row>
    <row r="1003" spans="1:16" s="5" customFormat="1" x14ac:dyDescent="0.25">
      <c r="A1003" s="6">
        <v>45259</v>
      </c>
      <c r="B1003" s="5">
        <v>126</v>
      </c>
      <c r="C1003" s="5">
        <v>5</v>
      </c>
      <c r="D1003" s="5">
        <f t="shared" si="28"/>
        <v>8.3333333333333332E-3</v>
      </c>
      <c r="E1003" s="5">
        <f t="shared" si="29"/>
        <v>6.6666666666666666E-2</v>
      </c>
      <c r="F1003" s="5">
        <v>12.5</v>
      </c>
      <c r="G1003" s="5">
        <v>0</v>
      </c>
      <c r="H1003" s="5">
        <v>-2</v>
      </c>
      <c r="I1003" s="5">
        <v>1.2</v>
      </c>
      <c r="J1003" s="5">
        <v>0.3</v>
      </c>
      <c r="M1003" s="5">
        <v>2</v>
      </c>
      <c r="N1003" s="5">
        <v>1</v>
      </c>
      <c r="P1003" s="5" t="s">
        <v>379</v>
      </c>
    </row>
    <row r="1004" spans="1:16" s="5" customFormat="1" ht="51.75" customHeight="1" x14ac:dyDescent="0.25">
      <c r="A1004" s="6">
        <v>45259</v>
      </c>
      <c r="B1004" s="5">
        <v>126</v>
      </c>
      <c r="C1004" s="5">
        <v>6</v>
      </c>
      <c r="D1004" s="5">
        <f t="shared" si="28"/>
        <v>8.3333333333333332E-3</v>
      </c>
      <c r="E1004" s="5">
        <f t="shared" si="29"/>
        <v>6.6666666666666666E-2</v>
      </c>
      <c r="F1004" s="5">
        <v>12.5</v>
      </c>
      <c r="G1004" s="5">
        <v>0</v>
      </c>
      <c r="H1004" s="5">
        <v>-2</v>
      </c>
      <c r="I1004" s="5">
        <v>1.2</v>
      </c>
      <c r="J1004" s="5">
        <v>0.3</v>
      </c>
      <c r="M1004" s="5">
        <v>2</v>
      </c>
      <c r="N1004" s="5">
        <v>1</v>
      </c>
      <c r="P1004" s="5" t="s">
        <v>401</v>
      </c>
    </row>
    <row r="1005" spans="1:16" s="5" customFormat="1" x14ac:dyDescent="0.25">
      <c r="A1005" s="6">
        <v>45259</v>
      </c>
      <c r="B1005" s="5">
        <v>126</v>
      </c>
      <c r="C1005" s="5">
        <v>7</v>
      </c>
      <c r="D1005" s="5">
        <f t="shared" si="28"/>
        <v>8.3333333333333332E-3</v>
      </c>
      <c r="E1005" s="5">
        <f t="shared" si="29"/>
        <v>6.6666666666666666E-2</v>
      </c>
      <c r="F1005" s="5">
        <v>12.5</v>
      </c>
      <c r="G1005" s="5">
        <v>0</v>
      </c>
      <c r="H1005" s="5">
        <v>-2</v>
      </c>
      <c r="I1005" s="5">
        <v>1.2</v>
      </c>
      <c r="J1005" s="5">
        <v>0.3</v>
      </c>
      <c r="M1005" s="5">
        <v>2</v>
      </c>
      <c r="N1005" s="5">
        <v>1</v>
      </c>
      <c r="P1005" s="5" t="s">
        <v>379</v>
      </c>
    </row>
    <row r="1006" spans="1:16" s="5" customFormat="1" x14ac:dyDescent="0.25">
      <c r="A1006" s="6">
        <v>45259</v>
      </c>
      <c r="B1006" s="5">
        <v>126</v>
      </c>
      <c r="C1006" s="5">
        <v>8</v>
      </c>
      <c r="D1006" s="5">
        <f t="shared" si="28"/>
        <v>8.3333333333333332E-3</v>
      </c>
      <c r="E1006" s="5">
        <f t="shared" si="29"/>
        <v>6.6666666666666666E-2</v>
      </c>
      <c r="F1006" s="5">
        <v>12.5</v>
      </c>
      <c r="G1006" s="5">
        <v>0</v>
      </c>
      <c r="H1006" s="5">
        <v>-2</v>
      </c>
      <c r="I1006" s="5">
        <v>1.2</v>
      </c>
      <c r="J1006" s="5">
        <v>0.3</v>
      </c>
      <c r="M1006" s="5">
        <v>2</v>
      </c>
      <c r="N1006" s="5">
        <v>1</v>
      </c>
      <c r="P1006" s="5" t="s">
        <v>398</v>
      </c>
    </row>
    <row r="1007" spans="1:16" s="5" customFormat="1" x14ac:dyDescent="0.25">
      <c r="A1007" s="6">
        <v>45259</v>
      </c>
      <c r="B1007" s="5">
        <v>126</v>
      </c>
      <c r="C1007" s="5">
        <v>9</v>
      </c>
      <c r="D1007" s="5">
        <f t="shared" si="28"/>
        <v>8.3333333333333332E-3</v>
      </c>
      <c r="E1007" s="5">
        <f t="shared" si="29"/>
        <v>6.6666666666666666E-2</v>
      </c>
      <c r="F1007" s="5">
        <v>12.5</v>
      </c>
      <c r="G1007" s="5">
        <v>0</v>
      </c>
      <c r="H1007" s="5">
        <v>-2</v>
      </c>
      <c r="I1007" s="5">
        <v>1.2</v>
      </c>
      <c r="J1007" s="5">
        <v>0.3</v>
      </c>
      <c r="M1007" s="5">
        <v>2</v>
      </c>
      <c r="N1007" s="5">
        <v>1</v>
      </c>
      <c r="P1007" s="5" t="s">
        <v>379</v>
      </c>
    </row>
    <row r="1008" spans="1:16" s="5" customFormat="1" x14ac:dyDescent="0.25">
      <c r="A1008" s="6">
        <v>45307</v>
      </c>
      <c r="B1008" s="5">
        <v>127</v>
      </c>
      <c r="C1008" s="5">
        <v>4</v>
      </c>
      <c r="D1008" s="5">
        <f t="shared" si="28"/>
        <v>8.3333333333333332E-3</v>
      </c>
      <c r="E1008" s="5">
        <f t="shared" si="29"/>
        <v>6.6666666666666666E-2</v>
      </c>
      <c r="F1008" s="5">
        <v>12.5</v>
      </c>
      <c r="G1008" s="5">
        <v>0</v>
      </c>
      <c r="H1008" s="5">
        <v>1</v>
      </c>
      <c r="I1008" s="5">
        <v>1</v>
      </c>
      <c r="J1008" s="5">
        <v>0.3</v>
      </c>
      <c r="M1008" s="5">
        <v>2</v>
      </c>
      <c r="N1008" s="5">
        <v>1</v>
      </c>
      <c r="P1008" s="5" t="s">
        <v>429</v>
      </c>
    </row>
    <row r="1009" spans="1:16" s="5" customFormat="1" x14ac:dyDescent="0.25">
      <c r="A1009" s="6">
        <v>45307</v>
      </c>
      <c r="B1009" s="5">
        <v>127</v>
      </c>
      <c r="C1009" s="5">
        <v>6</v>
      </c>
      <c r="D1009" s="5">
        <f t="shared" si="28"/>
        <v>8.3333333333333332E-3</v>
      </c>
      <c r="E1009" s="5">
        <f t="shared" si="29"/>
        <v>6.6666666666666666E-2</v>
      </c>
      <c r="F1009" s="5">
        <v>12.5</v>
      </c>
      <c r="G1009" s="5">
        <v>0</v>
      </c>
      <c r="H1009" s="5">
        <v>1</v>
      </c>
      <c r="I1009" s="5">
        <v>1</v>
      </c>
      <c r="J1009" s="5">
        <v>0.3</v>
      </c>
      <c r="M1009" s="5">
        <v>2</v>
      </c>
      <c r="N1009" s="5">
        <v>1</v>
      </c>
      <c r="P1009" s="5" t="s">
        <v>430</v>
      </c>
    </row>
    <row r="1010" spans="1:16" s="5" customFormat="1" x14ac:dyDescent="0.25">
      <c r="A1010" s="6">
        <v>45307</v>
      </c>
      <c r="B1010" s="5">
        <v>127</v>
      </c>
      <c r="C1010" s="5">
        <v>7</v>
      </c>
      <c r="D1010" s="5">
        <f t="shared" si="28"/>
        <v>8.3333333333333332E-3</v>
      </c>
      <c r="E1010" s="5">
        <f t="shared" si="29"/>
        <v>6.6666666666666666E-2</v>
      </c>
      <c r="F1010" s="5">
        <v>12.5</v>
      </c>
      <c r="G1010" s="5">
        <v>0</v>
      </c>
      <c r="H1010" s="5">
        <v>1</v>
      </c>
      <c r="I1010" s="5">
        <v>1</v>
      </c>
      <c r="J1010" s="5">
        <v>0.3</v>
      </c>
      <c r="M1010" s="5">
        <v>2</v>
      </c>
      <c r="N1010" s="5">
        <v>1</v>
      </c>
      <c r="P1010" s="5" t="s">
        <v>431</v>
      </c>
    </row>
    <row r="1011" spans="1:16" s="5" customFormat="1" x14ac:dyDescent="0.25">
      <c r="A1011" s="6">
        <v>45307</v>
      </c>
      <c r="B1011" s="5">
        <v>127</v>
      </c>
      <c r="C1011" s="5">
        <v>9</v>
      </c>
      <c r="D1011" s="5">
        <f t="shared" si="28"/>
        <v>8.3333333333333332E-3</v>
      </c>
      <c r="E1011" s="5">
        <f t="shared" si="29"/>
        <v>6.6666666666666666E-2</v>
      </c>
      <c r="F1011" s="5">
        <v>12.5</v>
      </c>
      <c r="G1011" s="5">
        <v>0</v>
      </c>
      <c r="H1011" s="5">
        <v>1</v>
      </c>
      <c r="I1011" s="5">
        <v>1</v>
      </c>
      <c r="J1011" s="5">
        <v>0.3</v>
      </c>
      <c r="M1011" s="5">
        <v>2</v>
      </c>
      <c r="N1011" s="5">
        <v>1</v>
      </c>
      <c r="P1011" s="5" t="s">
        <v>432</v>
      </c>
    </row>
    <row r="1012" spans="1:16" s="5" customFormat="1" x14ac:dyDescent="0.25">
      <c r="A1012" s="6">
        <v>45307</v>
      </c>
      <c r="B1012" s="5">
        <v>128</v>
      </c>
      <c r="C1012" s="5">
        <v>11</v>
      </c>
      <c r="D1012" s="5">
        <f t="shared" si="28"/>
        <v>8.3333333333333332E-3</v>
      </c>
      <c r="E1012" s="5">
        <f t="shared" si="29"/>
        <v>6.6666666666666666E-2</v>
      </c>
      <c r="F1012" s="5">
        <v>12.5</v>
      </c>
      <c r="G1012" s="5">
        <v>0</v>
      </c>
      <c r="H1012" s="5">
        <v>1</v>
      </c>
      <c r="I1012" s="5">
        <v>1</v>
      </c>
      <c r="J1012" s="5">
        <v>0.3</v>
      </c>
      <c r="M1012" s="5">
        <v>2</v>
      </c>
      <c r="N1012" s="5">
        <v>1</v>
      </c>
      <c r="P1012" s="5" t="s">
        <v>429</v>
      </c>
    </row>
    <row r="1013" spans="1:16" s="5" customFormat="1" x14ac:dyDescent="0.25">
      <c r="A1013" s="6">
        <v>45307</v>
      </c>
      <c r="B1013" s="5">
        <v>128</v>
      </c>
      <c r="C1013" s="5">
        <v>13</v>
      </c>
      <c r="D1013" s="5">
        <f t="shared" si="28"/>
        <v>8.3333333333333332E-3</v>
      </c>
      <c r="E1013" s="5">
        <f t="shared" si="29"/>
        <v>6.6666666666666666E-2</v>
      </c>
      <c r="F1013" s="5">
        <v>12.5</v>
      </c>
      <c r="G1013" s="5">
        <v>0</v>
      </c>
      <c r="H1013" s="5">
        <v>1</v>
      </c>
      <c r="I1013" s="5">
        <v>1</v>
      </c>
      <c r="J1013" s="5">
        <v>0.3</v>
      </c>
      <c r="M1013" s="5">
        <v>2</v>
      </c>
      <c r="N1013" s="5">
        <v>1</v>
      </c>
      <c r="P1013" s="5" t="s">
        <v>430</v>
      </c>
    </row>
    <row r="1014" spans="1:16" s="5" customFormat="1" x14ac:dyDescent="0.25">
      <c r="A1014" s="6">
        <v>45307</v>
      </c>
      <c r="B1014" s="5">
        <v>128</v>
      </c>
      <c r="C1014" s="5">
        <v>14</v>
      </c>
      <c r="D1014" s="5">
        <f t="shared" si="28"/>
        <v>8.3333333333333332E-3</v>
      </c>
      <c r="E1014" s="5">
        <f t="shared" si="29"/>
        <v>6.6666666666666666E-2</v>
      </c>
      <c r="F1014" s="5">
        <v>12.5</v>
      </c>
      <c r="G1014" s="5">
        <v>0</v>
      </c>
      <c r="H1014" s="5">
        <v>1</v>
      </c>
      <c r="I1014" s="5">
        <v>1</v>
      </c>
      <c r="J1014" s="5">
        <v>0.3</v>
      </c>
      <c r="M1014" s="5">
        <v>2</v>
      </c>
      <c r="N1014" s="5">
        <v>1</v>
      </c>
      <c r="P1014" s="5" t="s">
        <v>431</v>
      </c>
    </row>
    <row r="1015" spans="1:16" s="5" customFormat="1" x14ac:dyDescent="0.25">
      <c r="A1015" s="6">
        <v>45307</v>
      </c>
      <c r="B1015" s="5">
        <v>128</v>
      </c>
      <c r="C1015" s="5">
        <v>16</v>
      </c>
      <c r="D1015" s="5">
        <f t="shared" si="28"/>
        <v>8.3333333333333332E-3</v>
      </c>
      <c r="E1015" s="5">
        <f t="shared" si="29"/>
        <v>6.6666666666666666E-2</v>
      </c>
      <c r="F1015" s="5">
        <v>12.5</v>
      </c>
      <c r="G1015" s="5">
        <v>0</v>
      </c>
      <c r="H1015" s="5">
        <v>1</v>
      </c>
      <c r="I1015" s="5">
        <v>1</v>
      </c>
      <c r="J1015" s="5">
        <v>0.3</v>
      </c>
      <c r="M1015" s="5">
        <v>2</v>
      </c>
      <c r="N1015" s="5">
        <v>1</v>
      </c>
      <c r="P1015" s="5" t="s">
        <v>432</v>
      </c>
    </row>
    <row r="1016" spans="1:16" s="5" customFormat="1" x14ac:dyDescent="0.25">
      <c r="A1016" s="6">
        <v>45307</v>
      </c>
      <c r="B1016" s="5">
        <v>129</v>
      </c>
      <c r="C1016" s="5">
        <v>18</v>
      </c>
      <c r="D1016" s="5">
        <f t="shared" si="28"/>
        <v>8.3333333333333332E-3</v>
      </c>
      <c r="E1016" s="5">
        <f t="shared" si="29"/>
        <v>6.6666666666666666E-2</v>
      </c>
      <c r="F1016" s="5">
        <v>12.5</v>
      </c>
      <c r="G1016" s="5">
        <v>0</v>
      </c>
      <c r="H1016" s="5">
        <v>1</v>
      </c>
      <c r="I1016" s="5">
        <v>1</v>
      </c>
      <c r="J1016" s="5">
        <v>0.3</v>
      </c>
      <c r="M1016" s="5">
        <v>2</v>
      </c>
      <c r="N1016" s="5">
        <v>1</v>
      </c>
      <c r="P1016" s="5" t="s">
        <v>429</v>
      </c>
    </row>
    <row r="1017" spans="1:16" s="5" customFormat="1" x14ac:dyDescent="0.25">
      <c r="A1017" s="6">
        <v>45307</v>
      </c>
      <c r="B1017" s="5">
        <v>129</v>
      </c>
      <c r="C1017" s="5">
        <v>20</v>
      </c>
      <c r="D1017" s="5">
        <f t="shared" si="28"/>
        <v>8.3333333333333332E-3</v>
      </c>
      <c r="E1017" s="5">
        <f t="shared" si="29"/>
        <v>6.6666666666666666E-2</v>
      </c>
      <c r="F1017" s="5">
        <v>12.5</v>
      </c>
      <c r="G1017" s="5">
        <v>0</v>
      </c>
      <c r="H1017" s="5">
        <v>1</v>
      </c>
      <c r="I1017" s="5">
        <v>1</v>
      </c>
      <c r="J1017" s="5">
        <v>0.3</v>
      </c>
      <c r="M1017" s="5">
        <v>2</v>
      </c>
      <c r="N1017" s="5">
        <v>1</v>
      </c>
      <c r="P1017" s="5" t="s">
        <v>430</v>
      </c>
    </row>
    <row r="1018" spans="1:16" s="5" customFormat="1" x14ac:dyDescent="0.25">
      <c r="A1018" s="6">
        <v>45307</v>
      </c>
      <c r="B1018" s="5">
        <v>129</v>
      </c>
      <c r="C1018" s="5">
        <v>21</v>
      </c>
      <c r="D1018" s="5">
        <f t="shared" si="28"/>
        <v>8.3333333333333332E-3</v>
      </c>
      <c r="E1018" s="5">
        <f t="shared" si="29"/>
        <v>6.6666666666666666E-2</v>
      </c>
      <c r="F1018" s="5">
        <v>12.5</v>
      </c>
      <c r="G1018" s="5">
        <v>0</v>
      </c>
      <c r="H1018" s="5">
        <v>1</v>
      </c>
      <c r="I1018" s="5">
        <v>1</v>
      </c>
      <c r="J1018" s="5">
        <v>0.3</v>
      </c>
      <c r="M1018" s="5">
        <v>2</v>
      </c>
      <c r="N1018" s="5">
        <v>1</v>
      </c>
      <c r="P1018" s="5" t="s">
        <v>431</v>
      </c>
    </row>
    <row r="1019" spans="1:16" s="5" customFormat="1" x14ac:dyDescent="0.25">
      <c r="A1019" s="6">
        <v>45307</v>
      </c>
      <c r="B1019" s="5">
        <v>129</v>
      </c>
      <c r="C1019" s="5">
        <v>23</v>
      </c>
      <c r="D1019" s="5">
        <f t="shared" si="28"/>
        <v>8.3333333333333332E-3</v>
      </c>
      <c r="E1019" s="5">
        <f t="shared" si="29"/>
        <v>6.6666666666666666E-2</v>
      </c>
      <c r="F1019" s="5">
        <v>12.5</v>
      </c>
      <c r="G1019" s="5">
        <v>0</v>
      </c>
      <c r="H1019" s="5">
        <v>1</v>
      </c>
      <c r="I1019" s="5">
        <v>1</v>
      </c>
      <c r="J1019" s="5">
        <v>0.3</v>
      </c>
      <c r="M1019" s="5">
        <v>2</v>
      </c>
      <c r="N1019" s="5">
        <v>1</v>
      </c>
      <c r="P1019" s="5" t="s">
        <v>432</v>
      </c>
    </row>
    <row r="1020" spans="1:16" s="5" customFormat="1" x14ac:dyDescent="0.25">
      <c r="A1020" s="6">
        <v>45307</v>
      </c>
      <c r="B1020" s="5">
        <v>130</v>
      </c>
      <c r="C1020" s="5">
        <v>25</v>
      </c>
      <c r="D1020" s="5">
        <f t="shared" si="28"/>
        <v>8.3333333333333332E-3</v>
      </c>
      <c r="E1020" s="5">
        <f t="shared" si="29"/>
        <v>6.6666666666666666E-2</v>
      </c>
      <c r="F1020" s="5">
        <v>12.5</v>
      </c>
      <c r="G1020" s="5">
        <v>0</v>
      </c>
      <c r="H1020" s="5">
        <v>1</v>
      </c>
      <c r="I1020" s="5">
        <v>1</v>
      </c>
      <c r="J1020" s="5">
        <v>0.3</v>
      </c>
      <c r="M1020" s="5">
        <v>2</v>
      </c>
      <c r="N1020" s="5">
        <v>1</v>
      </c>
      <c r="P1020" s="5" t="s">
        <v>429</v>
      </c>
    </row>
    <row r="1021" spans="1:16" s="5" customFormat="1" x14ac:dyDescent="0.25">
      <c r="A1021" s="6">
        <v>45307</v>
      </c>
      <c r="B1021" s="5">
        <v>130</v>
      </c>
      <c r="C1021" s="5">
        <v>27</v>
      </c>
      <c r="D1021" s="5">
        <f t="shared" si="28"/>
        <v>8.3333333333333332E-3</v>
      </c>
      <c r="E1021" s="5">
        <f t="shared" si="29"/>
        <v>6.6666666666666666E-2</v>
      </c>
      <c r="F1021" s="5">
        <v>12.5</v>
      </c>
      <c r="G1021" s="5">
        <v>0</v>
      </c>
      <c r="H1021" s="5">
        <v>1</v>
      </c>
      <c r="I1021" s="5">
        <v>1</v>
      </c>
      <c r="J1021" s="5">
        <v>0.3</v>
      </c>
      <c r="M1021" s="5">
        <v>2</v>
      </c>
      <c r="N1021" s="5">
        <v>1</v>
      </c>
      <c r="P1021" s="5" t="s">
        <v>430</v>
      </c>
    </row>
    <row r="1022" spans="1:16" s="5" customFormat="1" x14ac:dyDescent="0.25">
      <c r="A1022" s="6">
        <v>45307</v>
      </c>
      <c r="B1022" s="5">
        <v>130</v>
      </c>
      <c r="C1022" s="5">
        <v>29</v>
      </c>
      <c r="D1022" s="5">
        <f t="shared" si="28"/>
        <v>8.3333333333333332E-3</v>
      </c>
      <c r="E1022" s="5">
        <f t="shared" si="29"/>
        <v>6.6666666666666666E-2</v>
      </c>
      <c r="F1022" s="5">
        <v>12.5</v>
      </c>
      <c r="G1022" s="5">
        <v>0</v>
      </c>
      <c r="H1022" s="5">
        <v>1</v>
      </c>
      <c r="I1022" s="5">
        <v>1</v>
      </c>
      <c r="J1022" s="5">
        <v>0.3</v>
      </c>
      <c r="M1022" s="5">
        <v>2</v>
      </c>
      <c r="N1022" s="5">
        <v>1</v>
      </c>
      <c r="P1022" s="5" t="s">
        <v>431</v>
      </c>
    </row>
    <row r="1023" spans="1:16" s="5" customFormat="1" x14ac:dyDescent="0.25">
      <c r="A1023" s="6">
        <v>45307</v>
      </c>
      <c r="B1023" s="5">
        <v>130</v>
      </c>
      <c r="C1023" s="5">
        <v>31</v>
      </c>
      <c r="D1023" s="5">
        <f t="shared" si="28"/>
        <v>8.3333333333333332E-3</v>
      </c>
      <c r="E1023" s="5">
        <f t="shared" si="29"/>
        <v>6.6666666666666666E-2</v>
      </c>
      <c r="F1023" s="5">
        <v>12.5</v>
      </c>
      <c r="G1023" s="5">
        <v>0</v>
      </c>
      <c r="H1023" s="5">
        <v>1</v>
      </c>
      <c r="I1023" s="5">
        <v>1</v>
      </c>
      <c r="J1023" s="5">
        <v>0.3</v>
      </c>
      <c r="M1023" s="5">
        <v>2</v>
      </c>
      <c r="N1023" s="5">
        <v>1</v>
      </c>
      <c r="P1023" s="5" t="s">
        <v>432</v>
      </c>
    </row>
    <row r="1024" spans="1:16" s="5" customFormat="1" x14ac:dyDescent="0.25">
      <c r="A1024" s="6">
        <v>45309</v>
      </c>
      <c r="B1024" s="5">
        <v>131</v>
      </c>
      <c r="C1024" s="5">
        <v>2</v>
      </c>
      <c r="D1024" s="5">
        <f t="shared" si="28"/>
        <v>8.3333333333333332E-3</v>
      </c>
      <c r="E1024" s="5">
        <f t="shared" si="29"/>
        <v>6.6666666666666666E-2</v>
      </c>
      <c r="F1024" s="5">
        <v>12.5</v>
      </c>
      <c r="G1024" s="5">
        <v>0</v>
      </c>
      <c r="H1024" s="5">
        <v>1</v>
      </c>
      <c r="I1024" s="5">
        <v>1</v>
      </c>
      <c r="J1024" s="5">
        <v>0.3</v>
      </c>
      <c r="M1024" s="5">
        <v>2</v>
      </c>
      <c r="N1024" s="5">
        <v>1</v>
      </c>
      <c r="P1024" s="5" t="s">
        <v>429</v>
      </c>
    </row>
    <row r="1025" spans="1:16" s="5" customFormat="1" x14ac:dyDescent="0.25">
      <c r="A1025" s="6">
        <v>45309</v>
      </c>
      <c r="B1025" s="5">
        <v>131</v>
      </c>
      <c r="C1025" s="5">
        <v>3</v>
      </c>
      <c r="D1025" s="5">
        <v>0.02</v>
      </c>
      <c r="E1025" s="5">
        <v>0.14000000000000001</v>
      </c>
      <c r="F1025" s="5">
        <v>6.25</v>
      </c>
      <c r="G1025" s="5">
        <v>0</v>
      </c>
      <c r="H1025" s="5">
        <v>1</v>
      </c>
      <c r="I1025" s="5">
        <v>1</v>
      </c>
      <c r="J1025" s="5">
        <v>0.3</v>
      </c>
      <c r="M1025" s="5">
        <v>2</v>
      </c>
      <c r="N1025" s="5">
        <v>1</v>
      </c>
      <c r="P1025" s="5" t="s">
        <v>429</v>
      </c>
    </row>
    <row r="1026" spans="1:16" s="5" customFormat="1" x14ac:dyDescent="0.25">
      <c r="A1026" s="6">
        <v>45309</v>
      </c>
      <c r="B1026" s="5">
        <v>131</v>
      </c>
      <c r="C1026" s="5">
        <v>5</v>
      </c>
      <c r="D1026" s="5">
        <f t="shared" si="28"/>
        <v>8.3333333333333332E-3</v>
      </c>
      <c r="E1026" s="5">
        <f t="shared" si="29"/>
        <v>6.6666666666666666E-2</v>
      </c>
      <c r="F1026" s="5">
        <v>12.5</v>
      </c>
      <c r="G1026" s="5">
        <v>0</v>
      </c>
      <c r="H1026" s="5">
        <v>1</v>
      </c>
      <c r="I1026" s="5">
        <v>1</v>
      </c>
      <c r="J1026" s="5">
        <v>0.3</v>
      </c>
      <c r="M1026" s="5">
        <v>2</v>
      </c>
      <c r="N1026" s="5">
        <v>1</v>
      </c>
      <c r="P1026" s="5" t="s">
        <v>430</v>
      </c>
    </row>
    <row r="1027" spans="1:16" s="5" customFormat="1" x14ac:dyDescent="0.25">
      <c r="A1027" s="6">
        <v>45309</v>
      </c>
      <c r="B1027" s="5">
        <v>131</v>
      </c>
      <c r="C1027" s="5">
        <v>6</v>
      </c>
      <c r="D1027" s="5">
        <v>0.02</v>
      </c>
      <c r="E1027" s="5">
        <v>0.14000000000000001</v>
      </c>
      <c r="F1027" s="5">
        <v>6.25</v>
      </c>
      <c r="G1027" s="5">
        <v>0</v>
      </c>
      <c r="H1027" s="5">
        <v>1</v>
      </c>
      <c r="I1027" s="5">
        <v>1</v>
      </c>
      <c r="J1027" s="5">
        <v>0.3</v>
      </c>
      <c r="M1027" s="5">
        <v>2</v>
      </c>
      <c r="N1027" s="5">
        <v>1</v>
      </c>
      <c r="P1027" s="5" t="s">
        <v>430</v>
      </c>
    </row>
    <row r="1028" spans="1:16" s="5" customFormat="1" x14ac:dyDescent="0.25">
      <c r="A1028" s="6">
        <v>45309</v>
      </c>
      <c r="B1028" s="5">
        <v>131</v>
      </c>
      <c r="C1028" s="5">
        <v>7</v>
      </c>
      <c r="D1028" s="5">
        <f t="shared" si="28"/>
        <v>8.3333333333333332E-3</v>
      </c>
      <c r="E1028" s="5">
        <f t="shared" si="29"/>
        <v>6.6666666666666666E-2</v>
      </c>
      <c r="F1028" s="5">
        <v>12.5</v>
      </c>
      <c r="G1028" s="5">
        <v>0</v>
      </c>
      <c r="H1028" s="5">
        <v>1</v>
      </c>
      <c r="I1028" s="5">
        <v>1</v>
      </c>
      <c r="J1028" s="5">
        <v>0.3</v>
      </c>
      <c r="M1028" s="5">
        <v>2</v>
      </c>
      <c r="N1028" s="5">
        <v>1</v>
      </c>
      <c r="P1028" s="5" t="s">
        <v>431</v>
      </c>
    </row>
    <row r="1029" spans="1:16" s="5" customFormat="1" x14ac:dyDescent="0.25">
      <c r="A1029" s="6">
        <v>45309</v>
      </c>
      <c r="B1029" s="5">
        <v>131</v>
      </c>
      <c r="C1029" s="5">
        <v>8</v>
      </c>
      <c r="D1029" s="5">
        <v>0.02</v>
      </c>
      <c r="E1029" s="5">
        <v>0.14000000000000001</v>
      </c>
      <c r="F1029" s="5">
        <v>6.25</v>
      </c>
      <c r="G1029" s="5">
        <v>0</v>
      </c>
      <c r="H1029" s="5">
        <v>1</v>
      </c>
      <c r="I1029" s="5">
        <v>1</v>
      </c>
      <c r="J1029" s="5">
        <v>0.3</v>
      </c>
      <c r="M1029" s="5">
        <v>2</v>
      </c>
      <c r="N1029" s="5">
        <v>1</v>
      </c>
      <c r="P1029" s="5" t="s">
        <v>431</v>
      </c>
    </row>
    <row r="1030" spans="1:16" s="5" customFormat="1" x14ac:dyDescent="0.25">
      <c r="A1030" s="6">
        <v>45309</v>
      </c>
      <c r="B1030" s="5">
        <v>131</v>
      </c>
      <c r="C1030" s="5">
        <v>9</v>
      </c>
      <c r="D1030" s="5">
        <f t="shared" si="28"/>
        <v>8.3333333333333332E-3</v>
      </c>
      <c r="E1030" s="5">
        <f t="shared" si="29"/>
        <v>6.6666666666666666E-2</v>
      </c>
      <c r="F1030" s="5">
        <v>12.5</v>
      </c>
      <c r="G1030" s="5">
        <v>0</v>
      </c>
      <c r="H1030" s="5">
        <v>1</v>
      </c>
      <c r="I1030" s="5">
        <v>1</v>
      </c>
      <c r="J1030" s="5">
        <v>0.3</v>
      </c>
      <c r="M1030" s="5">
        <v>2</v>
      </c>
      <c r="N1030" s="5">
        <v>1</v>
      </c>
      <c r="P1030" s="5" t="s">
        <v>432</v>
      </c>
    </row>
    <row r="1031" spans="1:16" s="5" customFormat="1" x14ac:dyDescent="0.25">
      <c r="A1031" s="6">
        <v>45309</v>
      </c>
      <c r="B1031" s="5">
        <v>131</v>
      </c>
      <c r="C1031" s="5">
        <v>10</v>
      </c>
      <c r="D1031" s="5">
        <v>0.02</v>
      </c>
      <c r="E1031" s="5">
        <v>0.14000000000000001</v>
      </c>
      <c r="F1031" s="5">
        <v>6.25</v>
      </c>
      <c r="G1031" s="5">
        <v>0</v>
      </c>
      <c r="H1031" s="5">
        <v>1</v>
      </c>
      <c r="I1031" s="5">
        <v>1</v>
      </c>
      <c r="J1031" s="5">
        <v>0.3</v>
      </c>
      <c r="M1031" s="5">
        <v>2</v>
      </c>
      <c r="N1031" s="5">
        <v>1</v>
      </c>
      <c r="P1031" s="5" t="s">
        <v>432</v>
      </c>
    </row>
    <row r="1032" spans="1:16" s="5" customFormat="1" x14ac:dyDescent="0.25">
      <c r="A1032" s="6">
        <v>45309</v>
      </c>
      <c r="B1032" s="5">
        <v>132</v>
      </c>
      <c r="C1032" s="5">
        <v>12</v>
      </c>
      <c r="D1032" s="5">
        <f t="shared" si="28"/>
        <v>8.3333333333333332E-3</v>
      </c>
      <c r="E1032" s="5">
        <f t="shared" si="29"/>
        <v>6.6666666666666666E-2</v>
      </c>
      <c r="F1032" s="5">
        <v>12.5</v>
      </c>
      <c r="G1032" s="5">
        <v>0</v>
      </c>
      <c r="H1032" s="5">
        <v>1</v>
      </c>
      <c r="I1032" s="5">
        <v>1</v>
      </c>
      <c r="J1032" s="5">
        <v>0.3</v>
      </c>
      <c r="M1032" s="5">
        <v>2</v>
      </c>
      <c r="N1032" s="5">
        <v>1</v>
      </c>
      <c r="P1032" s="5" t="s">
        <v>429</v>
      </c>
    </row>
    <row r="1033" spans="1:16" s="5" customFormat="1" x14ac:dyDescent="0.25">
      <c r="A1033" s="6">
        <v>45309</v>
      </c>
      <c r="B1033" s="5">
        <v>132</v>
      </c>
      <c r="C1033" s="5">
        <v>13</v>
      </c>
      <c r="D1033" s="5">
        <v>0.02</v>
      </c>
      <c r="E1033" s="5">
        <v>0.14000000000000001</v>
      </c>
      <c r="F1033" s="5">
        <v>6.25</v>
      </c>
      <c r="G1033" s="5">
        <v>0</v>
      </c>
      <c r="H1033" s="5">
        <v>1</v>
      </c>
      <c r="I1033" s="5">
        <v>1</v>
      </c>
      <c r="J1033" s="5">
        <v>0.3</v>
      </c>
      <c r="M1033" s="5">
        <v>2</v>
      </c>
      <c r="N1033" s="5">
        <v>1</v>
      </c>
      <c r="P1033" s="5" t="s">
        <v>429</v>
      </c>
    </row>
    <row r="1034" spans="1:16" s="5" customFormat="1" x14ac:dyDescent="0.25">
      <c r="A1034" s="6">
        <v>45309</v>
      </c>
      <c r="B1034" s="5">
        <v>132</v>
      </c>
      <c r="C1034" s="5">
        <v>15</v>
      </c>
      <c r="D1034" s="5">
        <f t="shared" si="28"/>
        <v>8.3333333333333332E-3</v>
      </c>
      <c r="E1034" s="5">
        <f t="shared" si="29"/>
        <v>6.6666666666666666E-2</v>
      </c>
      <c r="F1034" s="5">
        <v>12.5</v>
      </c>
      <c r="G1034" s="5">
        <v>0</v>
      </c>
      <c r="H1034" s="5">
        <v>1</v>
      </c>
      <c r="I1034" s="5">
        <v>1</v>
      </c>
      <c r="J1034" s="5">
        <v>0.3</v>
      </c>
      <c r="M1034" s="5">
        <v>2</v>
      </c>
      <c r="N1034" s="5">
        <v>1</v>
      </c>
      <c r="P1034" s="5" t="s">
        <v>430</v>
      </c>
    </row>
    <row r="1035" spans="1:16" s="5" customFormat="1" x14ac:dyDescent="0.25">
      <c r="A1035" s="6">
        <v>45309</v>
      </c>
      <c r="B1035" s="5">
        <v>132</v>
      </c>
      <c r="C1035" s="5">
        <v>16</v>
      </c>
      <c r="D1035" s="5">
        <v>0.02</v>
      </c>
      <c r="E1035" s="5">
        <v>0.14000000000000001</v>
      </c>
      <c r="F1035" s="5">
        <v>6.25</v>
      </c>
      <c r="G1035" s="5">
        <v>0</v>
      </c>
      <c r="H1035" s="5">
        <v>1</v>
      </c>
      <c r="I1035" s="5">
        <v>1</v>
      </c>
      <c r="J1035" s="5">
        <v>0.3</v>
      </c>
      <c r="M1035" s="5">
        <v>2</v>
      </c>
      <c r="N1035" s="5">
        <v>1</v>
      </c>
      <c r="P1035" s="5" t="s">
        <v>430</v>
      </c>
    </row>
    <row r="1036" spans="1:16" s="5" customFormat="1" x14ac:dyDescent="0.25">
      <c r="A1036" s="6">
        <v>45309</v>
      </c>
      <c r="B1036" s="5">
        <v>132</v>
      </c>
      <c r="C1036" s="5">
        <v>18</v>
      </c>
      <c r="D1036" s="5">
        <f t="shared" si="28"/>
        <v>8.3333333333333332E-3</v>
      </c>
      <c r="E1036" s="5">
        <f t="shared" si="29"/>
        <v>6.6666666666666666E-2</v>
      </c>
      <c r="F1036" s="5">
        <v>12.5</v>
      </c>
      <c r="G1036" s="5">
        <v>0</v>
      </c>
      <c r="H1036" s="5">
        <v>1</v>
      </c>
      <c r="I1036" s="5">
        <v>1</v>
      </c>
      <c r="J1036" s="5">
        <v>0.3</v>
      </c>
      <c r="M1036" s="5">
        <v>2</v>
      </c>
      <c r="N1036" s="5">
        <v>1</v>
      </c>
      <c r="P1036" s="5" t="s">
        <v>431</v>
      </c>
    </row>
    <row r="1037" spans="1:16" s="5" customFormat="1" x14ac:dyDescent="0.25">
      <c r="A1037" s="6">
        <v>45309</v>
      </c>
      <c r="B1037" s="5">
        <v>132</v>
      </c>
      <c r="C1037" s="5">
        <v>19</v>
      </c>
      <c r="D1037" s="5">
        <v>0.02</v>
      </c>
      <c r="E1037" s="5">
        <v>0.14000000000000001</v>
      </c>
      <c r="F1037" s="5">
        <v>6.25</v>
      </c>
      <c r="G1037" s="5">
        <v>0</v>
      </c>
      <c r="H1037" s="5">
        <v>1</v>
      </c>
      <c r="I1037" s="5">
        <v>1</v>
      </c>
      <c r="J1037" s="5">
        <v>0.3</v>
      </c>
      <c r="M1037" s="5">
        <v>2</v>
      </c>
      <c r="N1037" s="5">
        <v>1</v>
      </c>
      <c r="P1037" s="5" t="s">
        <v>431</v>
      </c>
    </row>
    <row r="1038" spans="1:16" s="5" customFormat="1" x14ac:dyDescent="0.25">
      <c r="A1038" s="6">
        <v>45309</v>
      </c>
      <c r="B1038" s="5">
        <v>133</v>
      </c>
      <c r="C1038" s="5">
        <v>21</v>
      </c>
      <c r="D1038" s="5">
        <f t="shared" si="28"/>
        <v>8.3333333333333332E-3</v>
      </c>
      <c r="E1038" s="5">
        <f t="shared" si="29"/>
        <v>6.6666666666666666E-2</v>
      </c>
      <c r="F1038" s="5">
        <v>12.5</v>
      </c>
      <c r="G1038" s="5">
        <v>0</v>
      </c>
      <c r="H1038" s="5">
        <v>1</v>
      </c>
      <c r="I1038" s="5">
        <v>1</v>
      </c>
      <c r="J1038" s="5">
        <v>0.3</v>
      </c>
      <c r="M1038" s="5">
        <v>2</v>
      </c>
      <c r="N1038" s="5">
        <v>1</v>
      </c>
      <c r="P1038" s="5" t="s">
        <v>429</v>
      </c>
    </row>
    <row r="1039" spans="1:16" s="5" customFormat="1" x14ac:dyDescent="0.25">
      <c r="A1039" s="6">
        <v>45309</v>
      </c>
      <c r="B1039" s="5">
        <v>133</v>
      </c>
      <c r="C1039" s="5">
        <v>22</v>
      </c>
      <c r="D1039" s="5">
        <v>0.02</v>
      </c>
      <c r="E1039" s="5">
        <v>0.14000000000000001</v>
      </c>
      <c r="F1039" s="5">
        <v>6.25</v>
      </c>
      <c r="G1039" s="5">
        <v>0</v>
      </c>
      <c r="H1039" s="5">
        <v>1</v>
      </c>
      <c r="I1039" s="5">
        <v>1</v>
      </c>
      <c r="J1039" s="5">
        <v>0.3</v>
      </c>
      <c r="M1039" s="5">
        <v>2</v>
      </c>
      <c r="N1039" s="5">
        <v>1</v>
      </c>
      <c r="P1039" s="5" t="s">
        <v>429</v>
      </c>
    </row>
    <row r="1040" spans="1:16" s="5" customFormat="1" x14ac:dyDescent="0.25">
      <c r="A1040" s="6">
        <v>45309</v>
      </c>
      <c r="B1040" s="5">
        <v>133</v>
      </c>
      <c r="C1040" s="5">
        <v>24</v>
      </c>
      <c r="D1040" s="5">
        <f t="shared" si="28"/>
        <v>8.3333333333333332E-3</v>
      </c>
      <c r="E1040" s="5">
        <f t="shared" si="29"/>
        <v>6.6666666666666666E-2</v>
      </c>
      <c r="F1040" s="5">
        <v>12.5</v>
      </c>
      <c r="G1040" s="5">
        <v>0</v>
      </c>
      <c r="H1040" s="5">
        <v>1</v>
      </c>
      <c r="I1040" s="5">
        <v>1</v>
      </c>
      <c r="J1040" s="5">
        <v>0.3</v>
      </c>
      <c r="M1040" s="5">
        <v>2</v>
      </c>
      <c r="N1040" s="5">
        <v>1</v>
      </c>
      <c r="P1040" s="5" t="s">
        <v>430</v>
      </c>
    </row>
    <row r="1041" spans="1:16" s="5" customFormat="1" x14ac:dyDescent="0.25">
      <c r="A1041" s="6">
        <v>45309</v>
      </c>
      <c r="B1041" s="5">
        <v>133</v>
      </c>
      <c r="C1041" s="5">
        <v>25</v>
      </c>
      <c r="D1041" s="5">
        <v>0.02</v>
      </c>
      <c r="E1041" s="5">
        <v>0.14000000000000001</v>
      </c>
      <c r="F1041" s="5">
        <v>6.25</v>
      </c>
      <c r="G1041" s="5">
        <v>0</v>
      </c>
      <c r="H1041" s="5">
        <v>1</v>
      </c>
      <c r="I1041" s="5">
        <v>1</v>
      </c>
      <c r="J1041" s="5">
        <v>0.3</v>
      </c>
      <c r="M1041" s="5">
        <v>2</v>
      </c>
      <c r="N1041" s="5">
        <v>1</v>
      </c>
      <c r="P1041" s="5" t="s">
        <v>430</v>
      </c>
    </row>
    <row r="1042" spans="1:16" s="5" customFormat="1" x14ac:dyDescent="0.25">
      <c r="A1042" s="6">
        <v>45309</v>
      </c>
      <c r="B1042" s="5">
        <v>133</v>
      </c>
      <c r="C1042" s="5">
        <v>26</v>
      </c>
      <c r="D1042" s="5">
        <f t="shared" si="28"/>
        <v>8.3333333333333332E-3</v>
      </c>
      <c r="E1042" s="5">
        <f t="shared" si="29"/>
        <v>6.6666666666666666E-2</v>
      </c>
      <c r="F1042" s="5">
        <v>12.5</v>
      </c>
      <c r="G1042" s="5">
        <v>0</v>
      </c>
      <c r="H1042" s="5">
        <v>1</v>
      </c>
      <c r="I1042" s="5">
        <v>1</v>
      </c>
      <c r="J1042" s="5">
        <v>0.3</v>
      </c>
      <c r="M1042" s="5">
        <v>2</v>
      </c>
      <c r="N1042" s="5">
        <v>1</v>
      </c>
      <c r="P1042" s="5" t="s">
        <v>431</v>
      </c>
    </row>
    <row r="1043" spans="1:16" s="5" customFormat="1" x14ac:dyDescent="0.25">
      <c r="A1043" s="6">
        <v>45309</v>
      </c>
      <c r="B1043" s="5">
        <v>133</v>
      </c>
      <c r="C1043" s="5">
        <v>27</v>
      </c>
      <c r="D1043" s="5">
        <v>0.02</v>
      </c>
      <c r="E1043" s="5">
        <v>0.14000000000000001</v>
      </c>
      <c r="F1043" s="5">
        <v>6.25</v>
      </c>
      <c r="G1043" s="5">
        <v>0</v>
      </c>
      <c r="H1043" s="5">
        <v>1</v>
      </c>
      <c r="I1043" s="5">
        <v>1</v>
      </c>
      <c r="J1043" s="5">
        <v>0.3</v>
      </c>
      <c r="M1043" s="5">
        <v>2</v>
      </c>
      <c r="N1043" s="5">
        <v>1</v>
      </c>
      <c r="P1043" s="5" t="s">
        <v>431</v>
      </c>
    </row>
    <row r="1044" spans="1:16" s="5" customFormat="1" x14ac:dyDescent="0.25">
      <c r="A1044" s="6">
        <v>45309</v>
      </c>
      <c r="B1044" s="5">
        <v>134</v>
      </c>
      <c r="C1044" s="5">
        <v>29</v>
      </c>
      <c r="D1044" s="5">
        <f t="shared" si="28"/>
        <v>8.3333333333333332E-3</v>
      </c>
      <c r="E1044" s="5">
        <f t="shared" si="29"/>
        <v>6.6666666666666666E-2</v>
      </c>
      <c r="F1044" s="5">
        <v>12.5</v>
      </c>
      <c r="G1044" s="5">
        <v>0</v>
      </c>
      <c r="H1044" s="5">
        <v>1</v>
      </c>
      <c r="I1044" s="5">
        <v>1</v>
      </c>
      <c r="J1044" s="5">
        <v>0.3</v>
      </c>
      <c r="M1044" s="5">
        <v>2</v>
      </c>
      <c r="N1044" s="5">
        <v>1</v>
      </c>
      <c r="P1044" s="5" t="s">
        <v>429</v>
      </c>
    </row>
    <row r="1045" spans="1:16" s="5" customFormat="1" x14ac:dyDescent="0.25">
      <c r="A1045" s="6">
        <v>45309</v>
      </c>
      <c r="B1045" s="5">
        <v>134</v>
      </c>
      <c r="C1045" s="5">
        <v>30</v>
      </c>
      <c r="D1045" s="5">
        <v>0.02</v>
      </c>
      <c r="E1045" s="5">
        <v>0.14000000000000001</v>
      </c>
      <c r="F1045" s="5">
        <v>6.25</v>
      </c>
      <c r="G1045" s="5">
        <v>0</v>
      </c>
      <c r="H1045" s="5">
        <v>1</v>
      </c>
      <c r="I1045" s="5">
        <v>1</v>
      </c>
      <c r="J1045" s="5">
        <v>0.3</v>
      </c>
      <c r="M1045" s="5">
        <v>2</v>
      </c>
      <c r="N1045" s="5">
        <v>1</v>
      </c>
      <c r="P1045" s="5" t="s">
        <v>429</v>
      </c>
    </row>
    <row r="1046" spans="1:16" s="5" customFormat="1" x14ac:dyDescent="0.25">
      <c r="A1046" s="6">
        <v>45309</v>
      </c>
      <c r="B1046" s="5">
        <v>134</v>
      </c>
      <c r="C1046" s="5">
        <v>32</v>
      </c>
      <c r="D1046" s="5">
        <f t="shared" si="28"/>
        <v>8.3333333333333332E-3</v>
      </c>
      <c r="E1046" s="5">
        <f t="shared" si="29"/>
        <v>6.6666666666666666E-2</v>
      </c>
      <c r="F1046" s="5">
        <v>12.5</v>
      </c>
      <c r="G1046" s="5">
        <v>0</v>
      </c>
      <c r="H1046" s="5">
        <v>1</v>
      </c>
      <c r="I1046" s="5">
        <v>1</v>
      </c>
      <c r="J1046" s="5">
        <v>0.3</v>
      </c>
      <c r="M1046" s="5">
        <v>2</v>
      </c>
      <c r="N1046" s="5">
        <v>1</v>
      </c>
      <c r="P1046" s="5" t="s">
        <v>430</v>
      </c>
    </row>
    <row r="1047" spans="1:16" s="5" customFormat="1" x14ac:dyDescent="0.25">
      <c r="A1047" s="6">
        <v>45309</v>
      </c>
      <c r="B1047" s="5">
        <v>134</v>
      </c>
      <c r="C1047" s="5">
        <v>33</v>
      </c>
      <c r="D1047" s="5">
        <v>0.02</v>
      </c>
      <c r="E1047" s="5">
        <v>0.14000000000000001</v>
      </c>
      <c r="F1047" s="5">
        <v>6.25</v>
      </c>
      <c r="G1047" s="5">
        <v>0</v>
      </c>
      <c r="H1047" s="5">
        <v>1</v>
      </c>
      <c r="I1047" s="5">
        <v>1</v>
      </c>
      <c r="J1047" s="5">
        <v>0.3</v>
      </c>
      <c r="M1047" s="5">
        <v>2</v>
      </c>
      <c r="N1047" s="5">
        <v>1</v>
      </c>
      <c r="P1047" s="5" t="s">
        <v>430</v>
      </c>
    </row>
    <row r="1048" spans="1:16" s="5" customFormat="1" x14ac:dyDescent="0.25">
      <c r="A1048" s="6">
        <v>45309</v>
      </c>
      <c r="B1048" s="5">
        <v>134</v>
      </c>
      <c r="C1048" s="5">
        <v>34</v>
      </c>
      <c r="D1048" s="5">
        <f t="shared" si="28"/>
        <v>8.3333333333333332E-3</v>
      </c>
      <c r="E1048" s="5">
        <f t="shared" si="29"/>
        <v>6.6666666666666666E-2</v>
      </c>
      <c r="F1048" s="5">
        <v>12.5</v>
      </c>
      <c r="G1048" s="5">
        <v>0</v>
      </c>
      <c r="H1048" s="5">
        <v>1</v>
      </c>
      <c r="I1048" s="5">
        <v>1</v>
      </c>
      <c r="J1048" s="5">
        <v>0.3</v>
      </c>
      <c r="M1048" s="5">
        <v>2</v>
      </c>
      <c r="N1048" s="5">
        <v>1</v>
      </c>
      <c r="P1048" s="5" t="s">
        <v>431</v>
      </c>
    </row>
    <row r="1049" spans="1:16" s="5" customFormat="1" x14ac:dyDescent="0.25">
      <c r="A1049" s="6">
        <v>45309</v>
      </c>
      <c r="B1049" s="5">
        <v>134</v>
      </c>
      <c r="C1049" s="5">
        <v>35</v>
      </c>
      <c r="D1049" s="5">
        <v>0.02</v>
      </c>
      <c r="E1049" s="5">
        <v>0.14000000000000001</v>
      </c>
      <c r="F1049" s="5">
        <v>6.25</v>
      </c>
      <c r="G1049" s="5">
        <v>0</v>
      </c>
      <c r="H1049" s="5">
        <v>1</v>
      </c>
      <c r="I1049" s="5">
        <v>1</v>
      </c>
      <c r="J1049" s="5">
        <v>0.3</v>
      </c>
      <c r="M1049" s="5">
        <v>2</v>
      </c>
      <c r="N1049" s="5">
        <v>1</v>
      </c>
      <c r="P1049" s="5" t="s">
        <v>431</v>
      </c>
    </row>
    <row r="1050" spans="1:16" s="5" customFormat="1" x14ac:dyDescent="0.25">
      <c r="A1050" s="6">
        <v>45310</v>
      </c>
      <c r="B1050" s="5">
        <v>135</v>
      </c>
      <c r="C1050" s="5">
        <v>3</v>
      </c>
      <c r="D1050" s="5">
        <f t="shared" si="28"/>
        <v>8.3333333333333332E-3</v>
      </c>
      <c r="E1050" s="5">
        <f t="shared" si="29"/>
        <v>6.6666666666666666E-2</v>
      </c>
      <c r="F1050" s="5">
        <v>12.5</v>
      </c>
      <c r="G1050" s="5">
        <v>0</v>
      </c>
      <c r="H1050" s="5">
        <v>1</v>
      </c>
      <c r="I1050" s="5">
        <v>1</v>
      </c>
      <c r="J1050" s="5">
        <v>0.3</v>
      </c>
      <c r="M1050" s="5">
        <v>2</v>
      </c>
      <c r="N1050" s="5">
        <v>1</v>
      </c>
      <c r="P1050" s="5" t="s">
        <v>433</v>
      </c>
    </row>
    <row r="1051" spans="1:16" s="5" customFormat="1" x14ac:dyDescent="0.25">
      <c r="A1051" s="6">
        <v>45310</v>
      </c>
      <c r="B1051" s="5">
        <v>135</v>
      </c>
      <c r="C1051" s="5">
        <v>4</v>
      </c>
      <c r="D1051" s="5">
        <f t="shared" si="28"/>
        <v>8.3333333333333332E-3</v>
      </c>
      <c r="E1051" s="5">
        <f t="shared" si="29"/>
        <v>6.6666666666666666E-2</v>
      </c>
      <c r="F1051" s="5">
        <v>12.5</v>
      </c>
      <c r="G1051" s="5">
        <v>0</v>
      </c>
      <c r="H1051" s="5">
        <v>1</v>
      </c>
      <c r="I1051" s="5">
        <v>1</v>
      </c>
      <c r="J1051" s="5">
        <v>0.3</v>
      </c>
      <c r="M1051" s="5">
        <v>2</v>
      </c>
      <c r="N1051" s="5">
        <v>1</v>
      </c>
      <c r="P1051" s="5" t="s">
        <v>433</v>
      </c>
    </row>
    <row r="1052" spans="1:16" s="5" customFormat="1" x14ac:dyDescent="0.25">
      <c r="A1052" s="6">
        <v>45310</v>
      </c>
      <c r="B1052" s="5">
        <v>135</v>
      </c>
      <c r="C1052" s="5">
        <v>5</v>
      </c>
      <c r="D1052" s="5">
        <f t="shared" si="28"/>
        <v>8.3333333333333332E-3</v>
      </c>
      <c r="E1052" s="5">
        <f t="shared" si="29"/>
        <v>6.6666666666666666E-2</v>
      </c>
      <c r="F1052" s="5">
        <v>12.5</v>
      </c>
      <c r="G1052" s="5">
        <v>0</v>
      </c>
      <c r="H1052" s="5">
        <v>1</v>
      </c>
      <c r="I1052" s="5">
        <v>1</v>
      </c>
      <c r="J1052" s="5">
        <v>0.3</v>
      </c>
      <c r="M1052" s="5">
        <v>2</v>
      </c>
      <c r="N1052" s="5">
        <v>1</v>
      </c>
      <c r="P1052" s="5" t="s">
        <v>433</v>
      </c>
    </row>
    <row r="1053" spans="1:16" s="5" customFormat="1" x14ac:dyDescent="0.25">
      <c r="A1053" s="6">
        <v>45310</v>
      </c>
      <c r="B1053" s="5">
        <v>135</v>
      </c>
      <c r="C1053" s="5">
        <v>6</v>
      </c>
      <c r="D1053" s="5">
        <f t="shared" si="28"/>
        <v>8.3333333333333332E-3</v>
      </c>
      <c r="E1053" s="5">
        <f t="shared" si="29"/>
        <v>6.6666666666666666E-2</v>
      </c>
      <c r="F1053" s="5">
        <v>12.5</v>
      </c>
      <c r="G1053" s="5">
        <v>0</v>
      </c>
      <c r="H1053" s="5">
        <v>1</v>
      </c>
      <c r="I1053" s="5">
        <v>1</v>
      </c>
      <c r="J1053" s="5">
        <v>0.3</v>
      </c>
      <c r="M1053" s="5">
        <v>2</v>
      </c>
      <c r="N1053" s="5">
        <v>1</v>
      </c>
      <c r="P1053" s="5" t="s">
        <v>433</v>
      </c>
    </row>
    <row r="1054" spans="1:16" s="5" customFormat="1" x14ac:dyDescent="0.25">
      <c r="A1054" s="6">
        <v>45310</v>
      </c>
      <c r="B1054" s="5">
        <v>135</v>
      </c>
      <c r="C1054" s="5">
        <v>7</v>
      </c>
      <c r="D1054" s="5">
        <f t="shared" si="28"/>
        <v>8.3333333333333332E-3</v>
      </c>
      <c r="E1054" s="5">
        <f t="shared" si="29"/>
        <v>6.6666666666666666E-2</v>
      </c>
      <c r="F1054" s="5">
        <v>12.5</v>
      </c>
      <c r="G1054" s="5">
        <v>0</v>
      </c>
      <c r="H1054" s="5">
        <v>1</v>
      </c>
      <c r="I1054" s="5">
        <v>1</v>
      </c>
      <c r="J1054" s="5">
        <v>0.3</v>
      </c>
      <c r="M1054" s="5">
        <v>2</v>
      </c>
      <c r="N1054" s="5">
        <v>1</v>
      </c>
      <c r="P1054" s="5" t="s">
        <v>433</v>
      </c>
    </row>
    <row r="1055" spans="1:16" s="5" customFormat="1" x14ac:dyDescent="0.25">
      <c r="A1055" s="6">
        <v>45310</v>
      </c>
      <c r="B1055" s="5">
        <v>136</v>
      </c>
      <c r="C1055" s="5">
        <v>9</v>
      </c>
      <c r="D1055" s="5">
        <f t="shared" si="28"/>
        <v>8.3333333333333332E-3</v>
      </c>
      <c r="E1055" s="5">
        <f t="shared" si="29"/>
        <v>6.6666666666666666E-2</v>
      </c>
      <c r="F1055" s="5">
        <v>12.5</v>
      </c>
      <c r="G1055" s="5">
        <v>0</v>
      </c>
      <c r="H1055" s="5">
        <v>1</v>
      </c>
      <c r="I1055" s="5">
        <v>1</v>
      </c>
      <c r="J1055" s="5">
        <v>0.3</v>
      </c>
      <c r="M1055" s="5">
        <v>2</v>
      </c>
      <c r="N1055" s="5">
        <v>1</v>
      </c>
      <c r="P1055" s="5" t="s">
        <v>434</v>
      </c>
    </row>
    <row r="1056" spans="1:16" s="5" customFormat="1" x14ac:dyDescent="0.25">
      <c r="A1056" s="6">
        <v>45310</v>
      </c>
      <c r="B1056" s="5">
        <v>136</v>
      </c>
      <c r="C1056" s="5">
        <v>11</v>
      </c>
      <c r="D1056" s="5">
        <f t="shared" si="28"/>
        <v>8.3333333333333332E-3</v>
      </c>
      <c r="E1056" s="5">
        <f t="shared" si="29"/>
        <v>6.6666666666666666E-2</v>
      </c>
      <c r="F1056" s="5">
        <v>12.5</v>
      </c>
      <c r="G1056" s="5">
        <v>0</v>
      </c>
      <c r="H1056" s="5">
        <v>1</v>
      </c>
      <c r="I1056" s="5">
        <v>1</v>
      </c>
      <c r="J1056" s="5">
        <v>0.3</v>
      </c>
      <c r="M1056" s="5">
        <v>2</v>
      </c>
      <c r="N1056" s="5">
        <v>1</v>
      </c>
      <c r="P1056" s="5" t="s">
        <v>434</v>
      </c>
    </row>
    <row r="1057" spans="1:16" s="5" customFormat="1" x14ac:dyDescent="0.25">
      <c r="A1057" s="6">
        <v>45310</v>
      </c>
      <c r="B1057" s="5">
        <v>136</v>
      </c>
      <c r="C1057" s="5">
        <v>12</v>
      </c>
      <c r="D1057" s="5">
        <f t="shared" si="28"/>
        <v>8.3333333333333332E-3</v>
      </c>
      <c r="E1057" s="5">
        <f t="shared" si="29"/>
        <v>6.6666666666666666E-2</v>
      </c>
      <c r="F1057" s="5">
        <v>12.5</v>
      </c>
      <c r="G1057" s="5">
        <v>0</v>
      </c>
      <c r="H1057" s="5">
        <v>1</v>
      </c>
      <c r="I1057" s="5">
        <v>1</v>
      </c>
      <c r="J1057" s="5">
        <v>0.3</v>
      </c>
      <c r="M1057" s="5">
        <v>2</v>
      </c>
      <c r="N1057" s="5">
        <v>1</v>
      </c>
      <c r="P1057" s="5" t="s">
        <v>434</v>
      </c>
    </row>
    <row r="1058" spans="1:16" s="5" customFormat="1" x14ac:dyDescent="0.25">
      <c r="A1058" s="6">
        <v>45310</v>
      </c>
      <c r="B1058" s="5">
        <v>136</v>
      </c>
      <c r="C1058" s="5">
        <v>13</v>
      </c>
      <c r="D1058" s="5">
        <f t="shared" si="28"/>
        <v>8.3333333333333332E-3</v>
      </c>
      <c r="E1058" s="5">
        <f t="shared" si="29"/>
        <v>6.6666666666666666E-2</v>
      </c>
      <c r="F1058" s="5">
        <v>12.5</v>
      </c>
      <c r="G1058" s="5">
        <v>0</v>
      </c>
      <c r="H1058" s="5">
        <v>1</v>
      </c>
      <c r="I1058" s="5">
        <v>1</v>
      </c>
      <c r="J1058" s="5">
        <v>0.3</v>
      </c>
      <c r="M1058" s="5">
        <v>2</v>
      </c>
      <c r="N1058" s="5">
        <v>1</v>
      </c>
      <c r="P1058" s="5" t="s">
        <v>434</v>
      </c>
    </row>
    <row r="1059" spans="1:16" s="5" customFormat="1" x14ac:dyDescent="0.25">
      <c r="A1059" s="6">
        <v>45310</v>
      </c>
      <c r="B1059" s="5">
        <v>136</v>
      </c>
      <c r="C1059" s="5">
        <v>14</v>
      </c>
      <c r="D1059" s="5">
        <f t="shared" si="28"/>
        <v>8.3333333333333332E-3</v>
      </c>
      <c r="E1059" s="5">
        <f t="shared" si="29"/>
        <v>6.6666666666666666E-2</v>
      </c>
      <c r="F1059" s="5">
        <v>12.5</v>
      </c>
      <c r="G1059" s="5">
        <v>0</v>
      </c>
      <c r="H1059" s="5">
        <v>1</v>
      </c>
      <c r="I1059" s="5">
        <v>1</v>
      </c>
      <c r="J1059" s="5">
        <v>0.3</v>
      </c>
      <c r="M1059" s="5">
        <v>2</v>
      </c>
      <c r="N1059" s="5">
        <v>1</v>
      </c>
      <c r="P1059" s="5" t="s">
        <v>434</v>
      </c>
    </row>
    <row r="1060" spans="1:16" s="5" customFormat="1" x14ac:dyDescent="0.25">
      <c r="A1060" s="6">
        <v>45310</v>
      </c>
      <c r="B1060" s="5">
        <v>136</v>
      </c>
      <c r="C1060" s="5">
        <v>15</v>
      </c>
      <c r="D1060" s="5">
        <f t="shared" si="28"/>
        <v>8.3333333333333332E-3</v>
      </c>
      <c r="E1060" s="5">
        <f t="shared" si="29"/>
        <v>6.6666666666666666E-2</v>
      </c>
      <c r="F1060" s="5">
        <v>12.5</v>
      </c>
      <c r="G1060" s="5">
        <v>0</v>
      </c>
      <c r="H1060" s="5">
        <v>1</v>
      </c>
      <c r="I1060" s="5">
        <v>1</v>
      </c>
      <c r="J1060" s="5">
        <v>0.3</v>
      </c>
      <c r="M1060" s="5">
        <v>2</v>
      </c>
      <c r="N1060" s="5">
        <v>1</v>
      </c>
      <c r="P1060" s="5" t="s">
        <v>434</v>
      </c>
    </row>
    <row r="1061" spans="1:16" s="5" customFormat="1" x14ac:dyDescent="0.25">
      <c r="A1061" s="6">
        <v>45310</v>
      </c>
      <c r="B1061" s="5">
        <v>136</v>
      </c>
      <c r="C1061" s="5">
        <v>16</v>
      </c>
      <c r="D1061" s="5">
        <f t="shared" si="28"/>
        <v>8.3333333333333332E-3</v>
      </c>
      <c r="E1061" s="5">
        <f t="shared" si="29"/>
        <v>6.6666666666666666E-2</v>
      </c>
      <c r="F1061" s="5">
        <v>12.5</v>
      </c>
      <c r="G1061" s="5">
        <v>0</v>
      </c>
      <c r="H1061" s="5">
        <v>1</v>
      </c>
      <c r="I1061" s="5">
        <v>1</v>
      </c>
      <c r="J1061" s="5">
        <v>0.3</v>
      </c>
      <c r="M1061" s="5">
        <v>2</v>
      </c>
      <c r="N1061" s="5">
        <v>1</v>
      </c>
      <c r="P1061" s="5" t="s">
        <v>434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Gokaydin</dc:creator>
  <cp:lastModifiedBy>Bruno van Swinderen</cp:lastModifiedBy>
  <dcterms:created xsi:type="dcterms:W3CDTF">2021-11-30T05:32:26Z</dcterms:created>
  <dcterms:modified xsi:type="dcterms:W3CDTF">2024-01-24T07:04:14Z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2022-01-14T03:16:33Z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bc8caae1-2304-4e72-a576-7a6770f3aefc</vt:lpwstr>
  </property>
  <property fmtid="{D5CDD505-2E9C-101B-9397-08002B2CF9AE}" pid="8" name="MSIP_Label_0f488380-630a-4f55-a077-a19445e3f360_ContentBits">
    <vt:lpwstr>0</vt:lpwstr>
  </property>
</Properties>
</file>